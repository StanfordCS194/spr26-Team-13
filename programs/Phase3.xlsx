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apmanpetersen/Desktop/"/>
    </mc:Choice>
  </mc:AlternateContent>
  <xr:revisionPtr revIDLastSave="0" documentId="8_{FF0BC6D1-1026-934F-BFDA-FE424448FF76}" xr6:coauthVersionLast="47" xr6:coauthVersionMax="47" xr10:uidLastSave="{00000000-0000-0000-0000-000000000000}"/>
  <bookViews>
    <workbookView xWindow="4500" yWindow="5100" windowWidth="17620" windowHeight="14020" xr2:uid="{00000000-000D-0000-FFFF-FFFF00000000}"/>
  </bookViews>
  <sheets>
    <sheet name="5x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87" i="1" l="1"/>
  <c r="G283" i="1"/>
  <c r="G279" i="1"/>
  <c r="G273" i="1"/>
  <c r="G269" i="1"/>
  <c r="G265" i="1"/>
  <c r="G255" i="1"/>
  <c r="G254" i="1"/>
  <c r="G250" i="1"/>
  <c r="G249" i="1"/>
  <c r="G246" i="1"/>
  <c r="G245" i="1"/>
  <c r="G244" i="1"/>
  <c r="G238" i="1"/>
  <c r="G237" i="1"/>
  <c r="G232" i="1"/>
  <c r="G231" i="1"/>
  <c r="G227" i="1"/>
  <c r="G220" i="1"/>
  <c r="G219" i="1"/>
  <c r="G216" i="1"/>
  <c r="G215" i="1"/>
  <c r="G214" i="1"/>
  <c r="G209" i="1"/>
  <c r="G208" i="1"/>
  <c r="G203" i="1"/>
  <c r="G202" i="1"/>
  <c r="G191" i="1"/>
  <c r="G190" i="1"/>
  <c r="G187" i="1"/>
  <c r="G186" i="1"/>
  <c r="G185" i="1"/>
  <c r="G180" i="1"/>
  <c r="G179" i="1"/>
  <c r="G174" i="1"/>
  <c r="G173" i="1"/>
  <c r="G169" i="1"/>
  <c r="G162" i="1"/>
  <c r="G161" i="1"/>
  <c r="G158" i="1"/>
  <c r="G157" i="1"/>
  <c r="G156" i="1"/>
  <c r="G151" i="1"/>
  <c r="G150" i="1"/>
  <c r="G145" i="1"/>
  <c r="G144" i="1"/>
  <c r="G133" i="1"/>
  <c r="G130" i="1"/>
  <c r="G129" i="1"/>
  <c r="G123" i="1"/>
  <c r="G122" i="1"/>
  <c r="G117" i="1"/>
  <c r="G116" i="1"/>
  <c r="G112" i="1"/>
  <c r="G105" i="1"/>
  <c r="G104" i="1"/>
  <c r="G101" i="1"/>
  <c r="G100" i="1"/>
  <c r="G99" i="1"/>
  <c r="G93" i="1"/>
  <c r="G94" i="1"/>
  <c r="G88" i="1"/>
  <c r="G87" i="1"/>
  <c r="G76" i="1"/>
  <c r="G75" i="1"/>
  <c r="G72" i="1"/>
  <c r="G71" i="1"/>
  <c r="G70" i="1"/>
  <c r="G64" i="1"/>
  <c r="G65" i="1"/>
  <c r="G59" i="1"/>
  <c r="G58" i="1"/>
  <c r="G54" i="1"/>
  <c r="G47" i="1"/>
  <c r="G46" i="1"/>
  <c r="G43" i="1"/>
  <c r="G42" i="1"/>
  <c r="G41" i="1"/>
  <c r="G36" i="1"/>
  <c r="G35" i="1"/>
  <c r="G30" i="1"/>
  <c r="G29" i="1"/>
  <c r="G18" i="1"/>
  <c r="G17" i="1"/>
  <c r="G14" i="1"/>
  <c r="G13" i="1"/>
  <c r="G12" i="1"/>
</calcChain>
</file>

<file path=xl/sharedStrings.xml><?xml version="1.0" encoding="utf-8"?>
<sst xmlns="http://schemas.openxmlformats.org/spreadsheetml/2006/main" count="1395" uniqueCount="167">
  <si>
    <t>Jeff Nippard's Powerbuilding System - 5x/Week Spreadsheet</t>
  </si>
  <si>
    <t xml:space="preserve">Copyright 2022 by Jeff Nippard. All rights reserved. </t>
  </si>
  <si>
    <r>
      <t>IMPORTANT:</t>
    </r>
    <r>
      <rPr>
        <sz val="20"/>
        <color theme="0"/>
        <rFont val="Calibri"/>
        <family val="2"/>
      </rPr>
      <t xml:space="preserve"> In the light green cell below, type "kg" if using kilograms or type "lbs" if using pounds (quotation marks not included)</t>
    </r>
  </si>
  <si>
    <t>kg</t>
  </si>
  <si>
    <r>
      <rPr>
        <b/>
        <sz val="20"/>
        <color rgb="FFFFFFFF"/>
        <rFont val="Calibri"/>
        <family val="2"/>
      </rPr>
      <t xml:space="preserve">IMPORTANT: </t>
    </r>
    <r>
      <rPr>
        <sz val="20"/>
        <color rgb="FFFFFFFF"/>
        <rFont val="Calibri"/>
        <family val="2"/>
      </rPr>
      <t xml:space="preserve">On the right, enter your CURRENT 1 rep max loads in the spaces below the given exercise (use the same units you specified above). </t>
    </r>
    <r>
      <rPr>
        <i/>
        <sz val="20"/>
        <color rgb="FFFFFFFF"/>
        <rFont val="Calibri"/>
        <family val="2"/>
      </rPr>
      <t>See pg. 16 of the Get Ready Manual if unsure of your 1RM.</t>
    </r>
  </si>
  <si>
    <t>Squat</t>
  </si>
  <si>
    <t>Bench</t>
  </si>
  <si>
    <t xml:space="preserve">Deadlift </t>
  </si>
  <si>
    <t>OHP</t>
  </si>
  <si>
    <t>Week 1</t>
  </si>
  <si>
    <t>Exercise</t>
  </si>
  <si>
    <t>Warm-up Sets</t>
  </si>
  <si>
    <t>Working Sets</t>
  </si>
  <si>
    <t>Reps</t>
  </si>
  <si>
    <t>Load</t>
  </si>
  <si>
    <t>%1RM</t>
  </si>
  <si>
    <t>RPE</t>
  </si>
  <si>
    <t>Rest</t>
  </si>
  <si>
    <t>Notes</t>
  </si>
  <si>
    <t>FULL BODY 1:</t>
  </si>
  <si>
    <t>Back Squat (Top Single)</t>
  </si>
  <si>
    <t>1</t>
  </si>
  <si>
    <t>85-87.5%</t>
  </si>
  <si>
    <t>~6-8</t>
  </si>
  <si>
    <t>3-5min</t>
  </si>
  <si>
    <t>Top set. Focus on technique and explosive power.</t>
  </si>
  <si>
    <t>Back Squat</t>
  </si>
  <si>
    <t>5</t>
  </si>
  <si>
    <t>75-77.5%</t>
  </si>
  <si>
    <t>Sit back and down, keep your upper back tight to the bar</t>
  </si>
  <si>
    <t>Barbell Overhead Press</t>
  </si>
  <si>
    <t>8</t>
  </si>
  <si>
    <t>2-3min</t>
  </si>
  <si>
    <t>These are intentionally light for shoulder stability and balance. Don't push these hard. Big bench day tomorrow.</t>
  </si>
  <si>
    <t>Pin Good Morning (or 45° Back Extension)</t>
  </si>
  <si>
    <t>8-10</t>
  </si>
  <si>
    <t>N/A</t>
  </si>
  <si>
    <t>Set the pins high, short ROM, use low bar position, set hips back and keep shins vertical</t>
  </si>
  <si>
    <t>Chest-Supported Row</t>
  </si>
  <si>
    <t>1-2min</t>
  </si>
  <si>
    <t>Can use machine or brace against bench. Minimize cheating.</t>
  </si>
  <si>
    <t>FULL BODY 2:</t>
  </si>
  <si>
    <t>Strict Bench Press</t>
  </si>
  <si>
    <t>87.5-90%</t>
  </si>
  <si>
    <t>~7-8</t>
  </si>
  <si>
    <t xml:space="preserve">Strict 1 second pause on chest. Execute the set up and rep as perfectly as possible. Don't overhype. Focus. </t>
  </si>
  <si>
    <t>Barbell Bench Press</t>
  </si>
  <si>
    <t>3</t>
  </si>
  <si>
    <t>Set up a comfortable arch, quick pause on chest and explode up on each rep</t>
  </si>
  <si>
    <t>Seated Leg Curl</t>
  </si>
  <si>
    <t>10-12</t>
  </si>
  <si>
    <t>Focus on squeezing your hamstrings to move the weight</t>
  </si>
  <si>
    <t>Barbell (or EZ-Bar) Strict Curl</t>
  </si>
  <si>
    <t>6-8</t>
  </si>
  <si>
    <t>Lean against wall and maintain wall contact with head, hips and back. Keep elbows pinned at sides. Control the weight.</t>
  </si>
  <si>
    <t>Seated Face Pull</t>
  </si>
  <si>
    <t>15-20</t>
  </si>
  <si>
    <t>Don't go too heavy, focus on mind-muscle connection</t>
  </si>
  <si>
    <t>Standing Calf Raise</t>
  </si>
  <si>
    <t>10</t>
  </si>
  <si>
    <t>Push these all very hard. Go to true failure.</t>
  </si>
  <si>
    <t>Hanging Leg Raise</t>
  </si>
  <si>
    <t>Knees to chest, controlled reps, straighten legs more to increase difficulty</t>
  </si>
  <si>
    <t>FULL BODY 3:</t>
  </si>
  <si>
    <t>Anderson Squat</t>
  </si>
  <si>
    <t>2-4min</t>
  </si>
  <si>
    <t>This is a pin squat that starts and ends with the bar on the pins. At the bottom you're just above parallel. Get tight.</t>
  </si>
  <si>
    <t>Close Grip Bench Press</t>
  </si>
  <si>
    <t>Shoulder width grip, tuck your elbows in closer to your sides</t>
  </si>
  <si>
    <t>Neutral Grip Pulldown</t>
  </si>
  <si>
    <t>Pull your elbows down against your sides</t>
  </si>
  <si>
    <t xml:space="preserve">Dumbbell Skull Crusher </t>
  </si>
  <si>
    <t>Arc the dummbells behind your head. Constant tension on triceps</t>
  </si>
  <si>
    <t>REST DAY</t>
  </si>
  <si>
    <t>FULL BODY 4:</t>
  </si>
  <si>
    <t>Deadlift</t>
  </si>
  <si>
    <t>4</t>
  </si>
  <si>
    <t>Brace your lats, chest tall, pull the slack out of the bar before lifting</t>
  </si>
  <si>
    <t>Pause Deadlift</t>
  </si>
  <si>
    <t>1 second pause right after plates leave the floor</t>
  </si>
  <si>
    <t>Dumbbell Lateral Raise</t>
  </si>
  <si>
    <t>Focus on contracting your delts to move the weight, don't let form get sloppy toward the end of the set!</t>
  </si>
  <si>
    <t>Band Pull-Apart</t>
  </si>
  <si>
    <t>Mind-muscle connection with rear delts</t>
  </si>
  <si>
    <t>Cable Pullover</t>
  </si>
  <si>
    <t>7</t>
  </si>
  <si>
    <t>Use bands if no cables. Keep constant tension on the lats. Big stretch at the top by leaning slightly forward.</t>
  </si>
  <si>
    <t>Hammer Curl</t>
  </si>
  <si>
    <t>Keep elbows locked in place, squeeze the dumbbell handle hard!</t>
  </si>
  <si>
    <t>FULL BODY 5:</t>
  </si>
  <si>
    <t>6</t>
  </si>
  <si>
    <t>70%</t>
  </si>
  <si>
    <t>72.5%</t>
  </si>
  <si>
    <t>Helms Row</t>
  </si>
  <si>
    <t>Be mindful of lower back fatgiue, stay light and minimize cheating</t>
  </si>
  <si>
    <t>Hip Abduction</t>
  </si>
  <si>
    <t>12-15</t>
  </si>
  <si>
    <t>Machine, band or weighted, squeeze and hold for 1 second at the top of each rep</t>
  </si>
  <si>
    <t>Week 2</t>
  </si>
  <si>
    <t>82.5-85%</t>
  </si>
  <si>
    <t>9</t>
  </si>
  <si>
    <t>Barbell Box Squat</t>
  </si>
  <si>
    <t>Sit fully back on to the box, release tension in thighs, minimize rocking while seated</t>
  </si>
  <si>
    <t>Barbell Pin Bench Press</t>
  </si>
  <si>
    <t>70-75%</t>
  </si>
  <si>
    <t>Set the pins just above chest height, release tension while the bar is on the pins, then explode up. Control the weight.</t>
  </si>
  <si>
    <t>2</t>
  </si>
  <si>
    <t>Touch-And-Go Deadlift</t>
  </si>
  <si>
    <t>65-70%</t>
  </si>
  <si>
    <t>Don't bounce the plates off the floor, just a light tap. Allow some momentum and get in a good groove. Breathe/brace at the top.</t>
  </si>
  <si>
    <t>75%</t>
  </si>
  <si>
    <t>Week 3</t>
  </si>
  <si>
    <t>~7-9</t>
  </si>
  <si>
    <t>77.5-80%</t>
  </si>
  <si>
    <t>90-92.5%</t>
  </si>
  <si>
    <t>2-4</t>
  </si>
  <si>
    <t>77.5%</t>
  </si>
  <si>
    <t>Week 4</t>
  </si>
  <si>
    <t>90-95%</t>
  </si>
  <si>
    <t>85-90%</t>
  </si>
  <si>
    <t>92.5-95%</t>
  </si>
  <si>
    <t>65-75%</t>
  </si>
  <si>
    <t>80%</t>
  </si>
  <si>
    <t>Semi-deload Week - Avoid failure and train lighter this week to promote recovery and to prepare for the next 5 weeks!</t>
  </si>
  <si>
    <t>Week 5: Semi-Deload</t>
  </si>
  <si>
    <t>~5-7</t>
  </si>
  <si>
    <t>Squeeze your glutes to keep your torso upright, press up and slightly back</t>
  </si>
  <si>
    <t>Week 6</t>
  </si>
  <si>
    <t>80-85%</t>
  </si>
  <si>
    <t>70-80%</t>
  </si>
  <si>
    <t>Week 7</t>
  </si>
  <si>
    <t>~8-9</t>
  </si>
  <si>
    <t>82.5-87.5%</t>
  </si>
  <si>
    <t>92.5-97.5%</t>
  </si>
  <si>
    <t>~9</t>
  </si>
  <si>
    <t>Week 8</t>
  </si>
  <si>
    <t>95-97.5%</t>
  </si>
  <si>
    <t>82.5%</t>
  </si>
  <si>
    <t>TAPER WEEK - LOCK IN TECHNIQUE AND PRIORITIZE RECOVERY WITH LOWER VOLUME</t>
  </si>
  <si>
    <t>Week 9: Taper Week</t>
  </si>
  <si>
    <t>Try to move the bar as explosively as possible on the positive. Approach with confidence. Technique locked. Don't overhype.</t>
  </si>
  <si>
    <t>Make every rep look exactly the same. 1 second pause on each rep.</t>
  </si>
  <si>
    <t>Reset Deadlift</t>
  </si>
  <si>
    <t>Stand up and set up again in between each rep. Think of each set as 3 separate singles.</t>
  </si>
  <si>
    <t>2 REST DAYS</t>
  </si>
  <si>
    <t xml:space="preserve">IMPORTANT NOTES ABOUT WEEK 10 </t>
  </si>
  <si>
    <t xml:space="preserve">If you are not feeling well recovered after completing week 9 (achy joints, poor sleep, low energy) take an extra rest day or two before running Week 10.
-        Always use a good spotter when attempting max effort lifts
-        Always use safety bars on squat and bench press (in case you have to dump the bar)
-        Do not test maxes if you are feeling joint pain
-        Do not test maxes if you do not feel properly recovered
-        Do not test maxes if you do not have a good spotter
-        Maxes should be done at a 9.5-10 RPE: It is not necessary to push to the point where you actually fail. I recommend stopping at the point where you don’t think you could get another rep with good form.
What week to run?
-        Run Week 10A only if you have competitive powerlifting goals
-        Run Week 10B if you have mostly bodybuilding and general strength goals
</t>
  </si>
  <si>
    <t>MAX TESTING OPTION A: Important! Choose either Week 10A or Week 10B. Do not run both weeks. See above for suggestions on which week to run.</t>
  </si>
  <si>
    <t>Week 10A: Max Testing</t>
  </si>
  <si>
    <t>SQUAT TEST:</t>
  </si>
  <si>
    <t>1+</t>
  </si>
  <si>
    <t>100-105%</t>
  </si>
  <si>
    <t>9.5-10</t>
  </si>
  <si>
    <t>4-6min</t>
  </si>
  <si>
    <t>Aim for a new PR. Start with 100% and increase by ~2.5% every attempt until you hit a 9.5-10 RPE. Use a spotter and good form!</t>
  </si>
  <si>
    <t>Leg Curl</t>
  </si>
  <si>
    <t>Can be seated or lying. Focus on squeezing your hamstrings to move the weight</t>
  </si>
  <si>
    <t>BENCH TEST:</t>
  </si>
  <si>
    <t>Press up and back overhead, slight pause on the chest on each rep</t>
  </si>
  <si>
    <t>DEADLIFT TEST:</t>
  </si>
  <si>
    <t>Dumbbell Skull Crusher</t>
  </si>
  <si>
    <t>MAX TESTING OPTION B: Important! Choose either Week 10A or Week 10B. Do not run both weeks. See above for suggestions on which week to run.</t>
  </si>
  <si>
    <t>Week 10B: AMRAP Testing</t>
  </si>
  <si>
    <t>AMRAP</t>
  </si>
  <si>
    <t>As many reps as possible. Always use a spotter and good form. Aim to hit 3-5 reps</t>
  </si>
  <si>
    <t>Focus on contracting your delts to move the weight</t>
  </si>
  <si>
    <t>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</si>
</sst>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\-d"/>
    <numFmt numFmtId="165" formatCode="0.0%"/>
  </numFmts>
  <fonts count="30" x14ac:knownFonts="1">
    <font>
      <sz val="10"/>
      <color rgb="FF000000"/>
      <name val="Arial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sz val="10"/>
      <color rgb="FF000000"/>
      <name val="Calibri"/>
      <family val="2"/>
    </font>
    <font>
      <sz val="20"/>
      <color theme="1"/>
      <name val="Calibri"/>
      <family val="2"/>
    </font>
    <font>
      <sz val="10"/>
      <name val="Arial"/>
      <family val="2"/>
    </font>
    <font>
      <sz val="20"/>
      <color rgb="FF000000"/>
      <name val="Calibri"/>
      <family val="2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sz val="20"/>
      <color rgb="FFFFFFFF"/>
      <name val="Calibri"/>
      <family val="2"/>
    </font>
    <font>
      <b/>
      <sz val="20"/>
      <color rgb="FF000000"/>
      <name val="Calibri"/>
      <family val="2"/>
    </font>
    <font>
      <b/>
      <sz val="16"/>
      <color rgb="FFFFFFFF"/>
      <name val="Calibri"/>
      <family val="2"/>
    </font>
    <font>
      <b/>
      <sz val="17"/>
      <color rgb="FFFFFFFF"/>
      <name val="Calibri"/>
      <family val="2"/>
    </font>
    <font>
      <b/>
      <sz val="20"/>
      <color rgb="FFFFFFFF"/>
      <name val="Calibri"/>
      <family val="2"/>
    </font>
    <font>
      <b/>
      <sz val="20"/>
      <color rgb="FF932925"/>
      <name val="Calibri"/>
      <family val="2"/>
    </font>
    <font>
      <b/>
      <sz val="20"/>
      <color theme="1"/>
      <name val="Calibri"/>
      <family val="2"/>
    </font>
    <font>
      <sz val="10"/>
      <color theme="1"/>
      <name val="Arial"/>
      <family val="2"/>
    </font>
    <font>
      <i/>
      <sz val="20"/>
      <color rgb="FFFFFFFF"/>
      <name val="Calibri"/>
      <family val="2"/>
    </font>
    <font>
      <sz val="20"/>
      <color rgb="FF000000"/>
      <name val="Calibri"/>
      <family val="2"/>
    </font>
    <font>
      <b/>
      <sz val="26"/>
      <color theme="0"/>
      <name val="Calibri"/>
      <family val="2"/>
    </font>
    <font>
      <b/>
      <sz val="28"/>
      <color theme="0"/>
      <name val="Calibri"/>
      <family val="2"/>
    </font>
    <font>
      <b/>
      <sz val="10"/>
      <color theme="0"/>
      <name val="Arial"/>
      <family val="2"/>
    </font>
    <font>
      <b/>
      <sz val="20"/>
      <color theme="0"/>
      <name val="Calibri"/>
      <family val="2"/>
    </font>
    <font>
      <b/>
      <sz val="20"/>
      <color rgb="FF657F07"/>
      <name val="Calibri"/>
      <family val="2"/>
    </font>
    <font>
      <sz val="10"/>
      <color rgb="FF657F07"/>
      <name val="Arial"/>
      <family val="2"/>
    </font>
    <font>
      <b/>
      <sz val="18"/>
      <color theme="1"/>
      <name val="Calibri"/>
      <family val="2"/>
    </font>
    <font>
      <sz val="10"/>
      <color rgb="FF000000"/>
      <name val="Arial"/>
      <family val="2"/>
    </font>
    <font>
      <sz val="10"/>
      <color rgb="FF000000"/>
      <name val="Calibri"/>
      <family val="2"/>
    </font>
    <font>
      <sz val="14"/>
      <color rgb="FF3F3F3F"/>
      <name val="Calibri"/>
      <family val="2"/>
    </font>
    <font>
      <sz val="20"/>
      <color theme="0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CFE2F3"/>
        <bgColor rgb="FFCFE2F3"/>
      </patternFill>
    </fill>
    <fill>
      <patternFill patternType="solid">
        <fgColor rgb="FFD2E1F2"/>
        <bgColor rgb="FFD2E1F2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0C5"/>
        <bgColor rgb="FFFFF0C5"/>
      </patternFill>
    </fill>
    <fill>
      <patternFill patternType="solid">
        <fgColor rgb="FF657F07"/>
        <bgColor indexed="64"/>
      </patternFill>
    </fill>
    <fill>
      <patternFill patternType="solid">
        <fgColor rgb="FF657F07"/>
        <bgColor theme="5"/>
      </patternFill>
    </fill>
    <fill>
      <patternFill patternType="solid">
        <fgColor theme="0"/>
        <bgColor rgb="FFF3F3F3"/>
      </patternFill>
    </fill>
    <fill>
      <patternFill patternType="solid">
        <fgColor rgb="FF657F07"/>
        <bgColor theme="4"/>
      </patternFill>
    </fill>
    <fill>
      <patternFill patternType="solid">
        <fgColor rgb="FFC6C5AA"/>
        <bgColor rgb="FFF6B3AE"/>
      </patternFill>
    </fill>
    <fill>
      <patternFill patternType="solid">
        <fgColor rgb="FFC6C5AA"/>
        <bgColor indexed="64"/>
      </patternFill>
    </fill>
    <fill>
      <patternFill patternType="solid">
        <fgColor rgb="FFC6C5AA"/>
        <bgColor rgb="FFBDBDBD"/>
      </patternFill>
    </fill>
    <fill>
      <patternFill patternType="solid">
        <fgColor rgb="FFC6C5AA"/>
        <bgColor rgb="FF932925"/>
      </patternFill>
    </fill>
    <fill>
      <patternFill patternType="solid">
        <fgColor rgb="FF657F07"/>
        <bgColor rgb="FF4285F4"/>
      </patternFill>
    </fill>
    <fill>
      <patternFill patternType="solid">
        <fgColor rgb="FF97BD0B"/>
        <bgColor rgb="FFB6D7A8"/>
      </patternFill>
    </fill>
  </fills>
  <borders count="24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932925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26" fillId="0" borderId="16"/>
  </cellStyleXfs>
  <cellXfs count="198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49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49" fontId="6" fillId="3" borderId="0" xfId="0" applyNumberFormat="1" applyFont="1" applyFill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1" fontId="4" fillId="3" borderId="9" xfId="0" applyNumberFormat="1" applyFont="1" applyFill="1" applyBorder="1" applyAlignment="1">
      <alignment horizontal="center" vertical="center"/>
    </xf>
    <xf numFmtId="0" fontId="6" fillId="3" borderId="9" xfId="0" applyFont="1" applyFill="1" applyBorder="1" applyAlignment="1">
      <alignment horizontal="center" vertical="center"/>
    </xf>
    <xf numFmtId="1" fontId="4" fillId="2" borderId="0" xfId="0" applyNumberFormat="1" applyFont="1" applyFill="1" applyAlignment="1">
      <alignment horizontal="center" vertical="center"/>
    </xf>
    <xf numFmtId="49" fontId="4" fillId="2" borderId="0" xfId="0" applyNumberFormat="1" applyFont="1" applyFill="1" applyAlignment="1">
      <alignment horizontal="center" vertical="center"/>
    </xf>
    <xf numFmtId="9" fontId="4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6" fillId="3" borderId="0" xfId="0" applyFont="1" applyFill="1" applyAlignment="1">
      <alignment horizontal="center" vertical="center" wrapText="1"/>
    </xf>
    <xf numFmtId="0" fontId="6" fillId="2" borderId="9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3" borderId="9" xfId="0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 wrapText="1"/>
    </xf>
    <xf numFmtId="49" fontId="16" fillId="0" borderId="0" xfId="0" applyNumberFormat="1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0" fontId="11" fillId="13" borderId="3" xfId="0" applyFont="1" applyFill="1" applyBorder="1" applyAlignment="1">
      <alignment horizontal="center" vertical="center" wrapText="1"/>
    </xf>
    <xf numFmtId="49" fontId="11" fillId="13" borderId="3" xfId="0" applyNumberFormat="1" applyFont="1" applyFill="1" applyBorder="1" applyAlignment="1">
      <alignment horizontal="center" vertical="center" wrapText="1"/>
    </xf>
    <xf numFmtId="0" fontId="11" fillId="13" borderId="4" xfId="0" applyFont="1" applyFill="1" applyBorder="1" applyAlignment="1">
      <alignment horizontal="center" vertical="center" wrapText="1"/>
    </xf>
    <xf numFmtId="0" fontId="12" fillId="18" borderId="3" xfId="0" applyFont="1" applyFill="1" applyBorder="1" applyAlignment="1">
      <alignment horizontal="center" vertical="center" wrapText="1"/>
    </xf>
    <xf numFmtId="0" fontId="11" fillId="13" borderId="5" xfId="0" applyFont="1" applyFill="1" applyBorder="1" applyAlignment="1">
      <alignment horizontal="center" vertical="center" wrapText="1"/>
    </xf>
    <xf numFmtId="49" fontId="11" fillId="13" borderId="5" xfId="0" applyNumberFormat="1" applyFont="1" applyFill="1" applyBorder="1" applyAlignment="1">
      <alignment horizontal="center" vertical="center" wrapText="1"/>
    </xf>
    <xf numFmtId="0" fontId="11" fillId="18" borderId="14" xfId="0" applyFont="1" applyFill="1" applyBorder="1" applyAlignment="1">
      <alignment horizontal="center" vertical="center" wrapText="1"/>
    </xf>
    <xf numFmtId="0" fontId="11" fillId="18" borderId="1" xfId="0" applyFont="1" applyFill="1" applyBorder="1" applyAlignment="1">
      <alignment horizontal="center" vertical="center" wrapText="1"/>
    </xf>
    <xf numFmtId="0" fontId="24" fillId="0" borderId="0" xfId="0" applyFont="1" applyAlignment="1">
      <alignment horizontal="center" vertical="center"/>
    </xf>
    <xf numFmtId="0" fontId="24" fillId="2" borderId="0" xfId="0" applyFont="1" applyFill="1" applyAlignment="1">
      <alignment horizontal="center" vertical="center"/>
    </xf>
    <xf numFmtId="0" fontId="24" fillId="0" borderId="0" xfId="0" applyFont="1"/>
    <xf numFmtId="0" fontId="28" fillId="0" borderId="16" xfId="1" applyFont="1" applyAlignment="1">
      <alignment horizontal="right" vertical="top"/>
    </xf>
    <xf numFmtId="0" fontId="6" fillId="19" borderId="0" xfId="0" applyFont="1" applyFill="1" applyAlignment="1">
      <alignment horizontal="center" vertical="center" wrapText="1"/>
    </xf>
    <xf numFmtId="1" fontId="6" fillId="19" borderId="0" xfId="0" applyNumberFormat="1" applyFont="1" applyFill="1" applyAlignment="1">
      <alignment horizontal="center" vertical="center"/>
    </xf>
    <xf numFmtId="49" fontId="6" fillId="19" borderId="0" xfId="0" applyNumberFormat="1" applyFont="1" applyFill="1" applyAlignment="1">
      <alignment horizontal="center" vertical="center"/>
    </xf>
    <xf numFmtId="0" fontId="6" fillId="19" borderId="0" xfId="0" applyFont="1" applyFill="1" applyAlignment="1">
      <alignment horizontal="center" vertical="center"/>
    </xf>
    <xf numFmtId="0" fontId="27" fillId="0" borderId="0" xfId="0" applyFont="1"/>
    <xf numFmtId="0" fontId="18" fillId="0" borderId="0" xfId="0" applyFont="1"/>
    <xf numFmtId="0" fontId="22" fillId="16" borderId="5" xfId="0" applyFont="1" applyFill="1" applyBorder="1" applyAlignment="1">
      <alignment horizontal="center" vertical="center"/>
    </xf>
    <xf numFmtId="49" fontId="22" fillId="16" borderId="5" xfId="0" applyNumberFormat="1" applyFont="1" applyFill="1" applyBorder="1" applyAlignment="1">
      <alignment horizontal="center" vertical="center"/>
    </xf>
    <xf numFmtId="0" fontId="6" fillId="12" borderId="7" xfId="0" applyFont="1" applyFill="1" applyBorder="1" applyAlignment="1">
      <alignment horizontal="center" vertical="center"/>
    </xf>
    <xf numFmtId="49" fontId="6" fillId="12" borderId="7" xfId="0" applyNumberFormat="1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 wrapText="1"/>
    </xf>
    <xf numFmtId="1" fontId="6" fillId="4" borderId="16" xfId="0" applyNumberFormat="1" applyFont="1" applyFill="1" applyBorder="1" applyAlignment="1">
      <alignment horizontal="center" vertical="center"/>
    </xf>
    <xf numFmtId="49" fontId="6" fillId="4" borderId="16" xfId="0" applyNumberFormat="1" applyFont="1" applyFill="1" applyBorder="1" applyAlignment="1">
      <alignment horizontal="center" vertical="center"/>
    </xf>
    <xf numFmtId="0" fontId="6" fillId="4" borderId="16" xfId="0" applyFont="1" applyFill="1" applyBorder="1" applyAlignment="1">
      <alignment horizontal="center" vertical="center"/>
    </xf>
    <xf numFmtId="164" fontId="6" fillId="4" borderId="16" xfId="0" applyNumberFormat="1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 wrapText="1"/>
    </xf>
    <xf numFmtId="1" fontId="6" fillId="5" borderId="16" xfId="0" applyNumberFormat="1" applyFont="1" applyFill="1" applyBorder="1" applyAlignment="1">
      <alignment horizontal="center" vertical="center"/>
    </xf>
    <xf numFmtId="49" fontId="6" fillId="5" borderId="16" xfId="0" applyNumberFormat="1" applyFont="1" applyFill="1" applyBorder="1" applyAlignment="1">
      <alignment horizontal="center" vertical="center"/>
    </xf>
    <xf numFmtId="0" fontId="6" fillId="5" borderId="16" xfId="0" applyFont="1" applyFill="1" applyBorder="1" applyAlignment="1">
      <alignment horizontal="center" vertical="center"/>
    </xf>
    <xf numFmtId="9" fontId="6" fillId="6" borderId="16" xfId="0" applyNumberFormat="1" applyFont="1" applyFill="1" applyBorder="1" applyAlignment="1">
      <alignment horizontal="center" vertical="center"/>
    </xf>
    <xf numFmtId="0" fontId="6" fillId="3" borderId="16" xfId="0" applyFont="1" applyFill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 wrapText="1"/>
    </xf>
    <xf numFmtId="1" fontId="6" fillId="2" borderId="16" xfId="0" applyNumberFormat="1" applyFont="1" applyFill="1" applyBorder="1" applyAlignment="1">
      <alignment horizontal="center" vertical="center"/>
    </xf>
    <xf numFmtId="49" fontId="6" fillId="2" borderId="16" xfId="0" applyNumberFormat="1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 wrapText="1"/>
    </xf>
    <xf numFmtId="1" fontId="6" fillId="6" borderId="9" xfId="0" applyNumberFormat="1" applyFont="1" applyFill="1" applyBorder="1" applyAlignment="1">
      <alignment horizontal="center" vertical="center"/>
    </xf>
    <xf numFmtId="49" fontId="6" fillId="6" borderId="9" xfId="0" applyNumberFormat="1" applyFont="1" applyFill="1" applyBorder="1" applyAlignment="1">
      <alignment horizontal="center" vertical="center"/>
    </xf>
    <xf numFmtId="0" fontId="6" fillId="6" borderId="9" xfId="0" applyFont="1" applyFill="1" applyBorder="1" applyAlignment="1">
      <alignment horizontal="center" vertical="center"/>
    </xf>
    <xf numFmtId="49" fontId="6" fillId="5" borderId="9" xfId="0" applyNumberFormat="1" applyFont="1" applyFill="1" applyBorder="1" applyAlignment="1">
      <alignment horizontal="center" vertical="center"/>
    </xf>
    <xf numFmtId="0" fontId="6" fillId="3" borderId="15" xfId="0" applyFont="1" applyFill="1" applyBorder="1" applyAlignment="1">
      <alignment horizontal="center" vertical="center" wrapText="1"/>
    </xf>
    <xf numFmtId="0" fontId="6" fillId="3" borderId="16" xfId="0" applyFont="1" applyFill="1" applyBorder="1" applyAlignment="1">
      <alignment horizontal="center" vertical="center"/>
    </xf>
    <xf numFmtId="49" fontId="6" fillId="3" borderId="16" xfId="0" applyNumberFormat="1" applyFont="1" applyFill="1" applyBorder="1" applyAlignment="1">
      <alignment horizontal="center" vertical="center"/>
    </xf>
    <xf numFmtId="165" fontId="6" fillId="3" borderId="16" xfId="0" applyNumberFormat="1" applyFont="1" applyFill="1" applyBorder="1" applyAlignment="1">
      <alignment horizontal="center" vertical="center"/>
    </xf>
    <xf numFmtId="164" fontId="6" fillId="3" borderId="16" xfId="0" applyNumberFormat="1" applyFont="1" applyFill="1" applyBorder="1" applyAlignment="1">
      <alignment horizontal="center" vertical="center"/>
    </xf>
    <xf numFmtId="1" fontId="6" fillId="3" borderId="16" xfId="0" applyNumberFormat="1" applyFont="1" applyFill="1" applyBorder="1" applyAlignment="1">
      <alignment horizontal="center" vertical="center"/>
    </xf>
    <xf numFmtId="0" fontId="6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/>
    </xf>
    <xf numFmtId="49" fontId="6" fillId="3" borderId="16" xfId="0" applyNumberFormat="1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1" fontId="6" fillId="2" borderId="9" xfId="0" applyNumberFormat="1" applyFont="1" applyFill="1" applyBorder="1" applyAlignment="1">
      <alignment horizontal="center" vertical="center"/>
    </xf>
    <xf numFmtId="0" fontId="6" fillId="3" borderId="10" xfId="0" applyFont="1" applyFill="1" applyBorder="1" applyAlignment="1">
      <alignment horizontal="center" vertical="center" wrapText="1"/>
    </xf>
    <xf numFmtId="1" fontId="6" fillId="3" borderId="17" xfId="0" applyNumberFormat="1" applyFont="1" applyFill="1" applyBorder="1" applyAlignment="1">
      <alignment horizontal="center" vertical="center"/>
    </xf>
    <xf numFmtId="49" fontId="6" fillId="3" borderId="17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1" fontId="4" fillId="3" borderId="16" xfId="0" applyNumberFormat="1" applyFont="1" applyFill="1" applyBorder="1" applyAlignment="1">
      <alignment horizontal="center" vertical="center"/>
    </xf>
    <xf numFmtId="0" fontId="6" fillId="19" borderId="10" xfId="0" applyFont="1" applyFill="1" applyBorder="1" applyAlignment="1">
      <alignment horizontal="center" vertical="center" wrapText="1"/>
    </xf>
    <xf numFmtId="0" fontId="6" fillId="19" borderId="17" xfId="0" applyFont="1" applyFill="1" applyBorder="1" applyAlignment="1">
      <alignment horizontal="center" vertical="center"/>
    </xf>
    <xf numFmtId="49" fontId="6" fillId="19" borderId="17" xfId="0" applyNumberFormat="1" applyFont="1" applyFill="1" applyBorder="1" applyAlignment="1">
      <alignment horizontal="center" vertical="center"/>
    </xf>
    <xf numFmtId="9" fontId="6" fillId="19" borderId="17" xfId="0" applyNumberFormat="1" applyFont="1" applyFill="1" applyBorder="1" applyAlignment="1">
      <alignment horizontal="center" vertical="center"/>
    </xf>
    <xf numFmtId="164" fontId="6" fillId="19" borderId="17" xfId="0" applyNumberFormat="1" applyFont="1" applyFill="1" applyBorder="1" applyAlignment="1">
      <alignment horizontal="center" vertical="center"/>
    </xf>
    <xf numFmtId="0" fontId="6" fillId="19" borderId="17" xfId="0" applyFont="1" applyFill="1" applyBorder="1" applyAlignment="1">
      <alignment horizontal="center" vertical="center" wrapText="1"/>
    </xf>
    <xf numFmtId="165" fontId="6" fillId="2" borderId="16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 wrapText="1"/>
    </xf>
    <xf numFmtId="0" fontId="6" fillId="6" borderId="16" xfId="0" applyFont="1" applyFill="1" applyBorder="1" applyAlignment="1">
      <alignment horizontal="center" vertical="center"/>
    </xf>
    <xf numFmtId="164" fontId="6" fillId="5" borderId="16" xfId="0" applyNumberFormat="1" applyFont="1" applyFill="1" applyBorder="1" applyAlignment="1">
      <alignment horizontal="center" vertical="center"/>
    </xf>
    <xf numFmtId="0" fontId="6" fillId="19" borderId="16" xfId="0" applyFont="1" applyFill="1" applyBorder="1" applyAlignment="1">
      <alignment horizontal="center" vertical="center"/>
    </xf>
    <xf numFmtId="49" fontId="6" fillId="19" borderId="16" xfId="0" applyNumberFormat="1" applyFont="1" applyFill="1" applyBorder="1" applyAlignment="1">
      <alignment horizontal="center" vertical="center"/>
    </xf>
    <xf numFmtId="164" fontId="6" fillId="2" borderId="16" xfId="0" applyNumberFormat="1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 wrapText="1"/>
    </xf>
    <xf numFmtId="1" fontId="6" fillId="2" borderId="17" xfId="0" applyNumberFormat="1" applyFont="1" applyFill="1" applyBorder="1" applyAlignment="1">
      <alignment horizontal="center" vertical="center"/>
    </xf>
    <xf numFmtId="49" fontId="6" fillId="2" borderId="17" xfId="0" applyNumberFormat="1" applyFont="1" applyFill="1" applyBorder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1" fontId="4" fillId="2" borderId="16" xfId="0" applyNumberFormat="1" applyFont="1" applyFill="1" applyBorder="1" applyAlignment="1">
      <alignment horizontal="center" vertical="center"/>
    </xf>
    <xf numFmtId="9" fontId="6" fillId="3" borderId="16" xfId="0" applyNumberFormat="1" applyFont="1" applyFill="1" applyBorder="1" applyAlignment="1">
      <alignment horizontal="center" vertical="center"/>
    </xf>
    <xf numFmtId="1" fontId="6" fillId="3" borderId="9" xfId="0" applyNumberFormat="1" applyFont="1" applyFill="1" applyBorder="1" applyAlignment="1">
      <alignment horizontal="center" vertical="center"/>
    </xf>
    <xf numFmtId="49" fontId="6" fillId="2" borderId="16" xfId="0" applyNumberFormat="1" applyFont="1" applyFill="1" applyBorder="1" applyAlignment="1">
      <alignment horizontal="center" vertical="center" wrapText="1"/>
    </xf>
    <xf numFmtId="0" fontId="6" fillId="3" borderId="8" xfId="0" applyFont="1" applyFill="1" applyBorder="1" applyAlignment="1">
      <alignment horizontal="center" vertical="center" wrapText="1"/>
    </xf>
    <xf numFmtId="49" fontId="6" fillId="3" borderId="9" xfId="0" applyNumberFormat="1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 wrapText="1"/>
    </xf>
    <xf numFmtId="0" fontId="6" fillId="3" borderId="17" xfId="0" applyFont="1" applyFill="1" applyBorder="1" applyAlignment="1">
      <alignment horizontal="center" vertical="center"/>
    </xf>
    <xf numFmtId="9" fontId="6" fillId="3" borderId="17" xfId="0" applyNumberFormat="1" applyFont="1" applyFill="1" applyBorder="1" applyAlignment="1">
      <alignment horizontal="center" vertical="center"/>
    </xf>
    <xf numFmtId="164" fontId="6" fillId="3" borderId="17" xfId="0" applyNumberFormat="1" applyFont="1" applyFill="1" applyBorder="1" applyAlignment="1">
      <alignment horizontal="center" vertical="center"/>
    </xf>
    <xf numFmtId="9" fontId="6" fillId="2" borderId="16" xfId="0" applyNumberFormat="1" applyFont="1" applyFill="1" applyBorder="1" applyAlignment="1">
      <alignment horizontal="center" vertical="center"/>
    </xf>
    <xf numFmtId="0" fontId="11" fillId="13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1" fontId="4" fillId="2" borderId="17" xfId="0" applyNumberFormat="1" applyFont="1" applyFill="1" applyBorder="1" applyAlignment="1">
      <alignment horizontal="center" vertical="center"/>
    </xf>
    <xf numFmtId="0" fontId="6" fillId="2" borderId="17" xfId="0" applyFont="1" applyFill="1" applyBorder="1" applyAlignment="1">
      <alignment horizontal="center" vertical="center"/>
    </xf>
    <xf numFmtId="9" fontId="4" fillId="2" borderId="17" xfId="0" applyNumberFormat="1" applyFont="1" applyFill="1" applyBorder="1" applyAlignment="1">
      <alignment horizontal="center" vertical="center"/>
    </xf>
    <xf numFmtId="49" fontId="4" fillId="2" borderId="17" xfId="0" applyNumberFormat="1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 wrapText="1"/>
    </xf>
    <xf numFmtId="9" fontId="4" fillId="3" borderId="16" xfId="0" applyNumberFormat="1" applyFont="1" applyFill="1" applyBorder="1" applyAlignment="1">
      <alignment horizontal="center" vertical="center"/>
    </xf>
    <xf numFmtId="164" fontId="4" fillId="3" borderId="16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/>
    </xf>
    <xf numFmtId="9" fontId="4" fillId="2" borderId="16" xfId="0" applyNumberFormat="1" applyFont="1" applyFill="1" applyBorder="1" applyAlignment="1">
      <alignment horizontal="center" vertical="center"/>
    </xf>
    <xf numFmtId="164" fontId="4" fillId="2" borderId="16" xfId="0" applyNumberFormat="1" applyFont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1" fontId="4" fillId="2" borderId="9" xfId="0" applyNumberFormat="1" applyFont="1" applyFill="1" applyBorder="1" applyAlignment="1">
      <alignment horizontal="center" vertical="center"/>
    </xf>
    <xf numFmtId="49" fontId="4" fillId="2" borderId="9" xfId="0" applyNumberFormat="1" applyFont="1" applyFill="1" applyBorder="1" applyAlignment="1">
      <alignment horizontal="center" vertical="center"/>
    </xf>
    <xf numFmtId="165" fontId="4" fillId="2" borderId="16" xfId="0" applyNumberFormat="1" applyFont="1" applyFill="1" applyBorder="1" applyAlignment="1">
      <alignment horizontal="center" vertical="center"/>
    </xf>
    <xf numFmtId="49" fontId="4" fillId="3" borderId="16" xfId="0" applyNumberFormat="1" applyFont="1" applyFill="1" applyBorder="1" applyAlignment="1">
      <alignment horizontal="center" vertical="center" wrapText="1"/>
    </xf>
    <xf numFmtId="1" fontId="4" fillId="3" borderId="16" xfId="0" applyNumberFormat="1" applyFont="1" applyFill="1" applyBorder="1" applyAlignment="1">
      <alignment horizontal="center" vertical="center" wrapText="1"/>
    </xf>
    <xf numFmtId="49" fontId="4" fillId="2" borderId="16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9" fillId="10" borderId="0" xfId="0" applyFont="1" applyFill="1" applyAlignment="1">
      <alignment horizontal="center" vertical="center" wrapText="1"/>
    </xf>
    <xf numFmtId="0" fontId="13" fillId="17" borderId="5" xfId="0" applyFont="1" applyFill="1" applyBorder="1" applyAlignment="1">
      <alignment horizontal="center" vertical="center" wrapText="1"/>
    </xf>
    <xf numFmtId="0" fontId="5" fillId="15" borderId="6" xfId="0" applyFont="1" applyFill="1" applyBorder="1"/>
    <xf numFmtId="0" fontId="5" fillId="15" borderId="7" xfId="0" applyFont="1" applyFill="1" applyBorder="1"/>
    <xf numFmtId="0" fontId="13" fillId="17" borderId="21" xfId="0" applyFont="1" applyFill="1" applyBorder="1" applyAlignment="1">
      <alignment horizontal="center" vertical="center" wrapText="1"/>
    </xf>
    <xf numFmtId="0" fontId="5" fillId="15" borderId="22" xfId="0" applyFont="1" applyFill="1" applyBorder="1"/>
    <xf numFmtId="0" fontId="5" fillId="15" borderId="23" xfId="0" applyFont="1" applyFill="1" applyBorder="1"/>
    <xf numFmtId="0" fontId="13" fillId="17" borderId="18" xfId="0" applyFont="1" applyFill="1" applyBorder="1" applyAlignment="1">
      <alignment horizontal="center" vertical="center" wrapText="1"/>
    </xf>
    <xf numFmtId="0" fontId="5" fillId="15" borderId="19" xfId="0" applyFont="1" applyFill="1" applyBorder="1"/>
    <xf numFmtId="0" fontId="5" fillId="15" borderId="20" xfId="0" applyFont="1" applyFill="1" applyBorder="1"/>
    <xf numFmtId="0" fontId="13" fillId="17" borderId="6" xfId="0" applyFont="1" applyFill="1" applyBorder="1" applyAlignment="1">
      <alignment horizontal="center" vertical="center" wrapText="1"/>
    </xf>
    <xf numFmtId="0" fontId="23" fillId="4" borderId="4" xfId="0" applyFont="1" applyFill="1" applyBorder="1" applyAlignment="1">
      <alignment horizontal="center" vertical="center" wrapText="1"/>
    </xf>
    <xf numFmtId="0" fontId="24" fillId="0" borderId="11" xfId="0" applyFont="1" applyBorder="1"/>
    <xf numFmtId="0" fontId="24" fillId="0" borderId="12" xfId="0" applyFont="1" applyBorder="1"/>
    <xf numFmtId="0" fontId="24" fillId="2" borderId="11" xfId="0" applyFont="1" applyFill="1" applyBorder="1"/>
    <xf numFmtId="0" fontId="24" fillId="2" borderId="12" xfId="0" applyFont="1" applyFill="1" applyBorder="1"/>
    <xf numFmtId="0" fontId="24" fillId="3" borderId="11" xfId="0" applyFont="1" applyFill="1" applyBorder="1"/>
    <xf numFmtId="0" fontId="24" fillId="3" borderId="12" xfId="0" applyFont="1" applyFill="1" applyBorder="1"/>
    <xf numFmtId="0" fontId="14" fillId="4" borderId="9" xfId="0" applyFont="1" applyFill="1" applyBorder="1" applyAlignment="1">
      <alignment horizontal="center" vertical="center" wrapText="1"/>
    </xf>
    <xf numFmtId="0" fontId="5" fillId="3" borderId="9" xfId="0" applyFont="1" applyFill="1" applyBorder="1"/>
    <xf numFmtId="0" fontId="15" fillId="8" borderId="4" xfId="0" applyFont="1" applyFill="1" applyBorder="1" applyAlignment="1">
      <alignment horizontal="center" wrapText="1"/>
    </xf>
    <xf numFmtId="0" fontId="5" fillId="2" borderId="11" xfId="0" applyFont="1" applyFill="1" applyBorder="1"/>
    <xf numFmtId="0" fontId="5" fillId="2" borderId="13" xfId="0" applyFont="1" applyFill="1" applyBorder="1"/>
    <xf numFmtId="0" fontId="23" fillId="4" borderId="15" xfId="0" applyFont="1" applyFill="1" applyBorder="1" applyAlignment="1">
      <alignment horizontal="center" vertical="center" wrapText="1"/>
    </xf>
    <xf numFmtId="0" fontId="25" fillId="9" borderId="4" xfId="0" applyFont="1" applyFill="1" applyBorder="1" applyAlignment="1">
      <alignment wrapText="1"/>
    </xf>
    <xf numFmtId="0" fontId="25" fillId="9" borderId="11" xfId="0" applyFont="1" applyFill="1" applyBorder="1" applyAlignment="1">
      <alignment wrapText="1"/>
    </xf>
    <xf numFmtId="0" fontId="15" fillId="2" borderId="9" xfId="0" applyFont="1" applyFill="1" applyBorder="1" applyAlignment="1">
      <alignment wrapText="1"/>
    </xf>
    <xf numFmtId="0" fontId="5" fillId="2" borderId="9" xfId="0" applyFont="1" applyFill="1" applyBorder="1"/>
    <xf numFmtId="0" fontId="5" fillId="2" borderId="2" xfId="0" applyFont="1" applyFill="1" applyBorder="1"/>
    <xf numFmtId="0" fontId="10" fillId="7" borderId="4" xfId="0" applyFont="1" applyFill="1" applyBorder="1" applyAlignment="1">
      <alignment horizontal="center" vertical="center" wrapText="1"/>
    </xf>
    <xf numFmtId="0" fontId="5" fillId="3" borderId="11" xfId="0" applyFont="1" applyFill="1" applyBorder="1"/>
    <xf numFmtId="0" fontId="5" fillId="3" borderId="13" xfId="0" applyFont="1" applyFill="1" applyBorder="1"/>
    <xf numFmtId="0" fontId="10" fillId="7" borderId="8" xfId="0" applyFont="1" applyFill="1" applyBorder="1" applyAlignment="1">
      <alignment horizontal="center" vertical="center" wrapText="1"/>
    </xf>
    <xf numFmtId="0" fontId="5" fillId="3" borderId="2" xfId="0" applyFont="1" applyFill="1" applyBorder="1"/>
    <xf numFmtId="0" fontId="1" fillId="0" borderId="0" xfId="0" applyFont="1" applyAlignment="1">
      <alignment horizontal="center" vertical="center" wrapText="1"/>
    </xf>
    <xf numFmtId="0" fontId="0" fillId="0" borderId="0" xfId="0"/>
    <xf numFmtId="0" fontId="3" fillId="2" borderId="0" xfId="0" applyFont="1" applyFill="1" applyAlignment="1">
      <alignment horizontal="center" vertical="center" wrapText="1"/>
    </xf>
    <xf numFmtId="0" fontId="22" fillId="10" borderId="10" xfId="0" applyFont="1" applyFill="1" applyBorder="1" applyAlignment="1">
      <alignment horizontal="center" vertical="center" wrapText="1"/>
    </xf>
    <xf numFmtId="0" fontId="22" fillId="10" borderId="17" xfId="0" applyFont="1" applyFill="1" applyBorder="1" applyAlignment="1">
      <alignment horizontal="center" vertical="center" wrapText="1"/>
    </xf>
    <xf numFmtId="0" fontId="22" fillId="10" borderId="1" xfId="0" applyFont="1" applyFill="1" applyBorder="1" applyAlignment="1">
      <alignment horizontal="center" vertical="center" wrapText="1"/>
    </xf>
    <xf numFmtId="0" fontId="20" fillId="14" borderId="8" xfId="0" applyFont="1" applyFill="1" applyBorder="1" applyAlignment="1">
      <alignment horizontal="center" vertical="center"/>
    </xf>
    <xf numFmtId="0" fontId="21" fillId="15" borderId="9" xfId="0" applyFont="1" applyFill="1" applyBorder="1"/>
    <xf numFmtId="0" fontId="21" fillId="15" borderId="2" xfId="0" applyFont="1" applyFill="1" applyBorder="1"/>
    <xf numFmtId="0" fontId="9" fillId="11" borderId="10" xfId="0" applyFont="1" applyFill="1" applyBorder="1" applyAlignment="1">
      <alignment horizontal="center" vertical="center" wrapText="1"/>
    </xf>
    <xf numFmtId="0" fontId="5" fillId="10" borderId="1" xfId="0" applyFont="1" applyFill="1" applyBorder="1"/>
    <xf numFmtId="0" fontId="5" fillId="10" borderId="8" xfId="0" applyFont="1" applyFill="1" applyBorder="1"/>
    <xf numFmtId="0" fontId="5" fillId="10" borderId="2" xfId="0" applyFont="1" applyFill="1" applyBorder="1"/>
    <xf numFmtId="0" fontId="7" fillId="2" borderId="0" xfId="0" applyFont="1" applyFill="1" applyAlignment="1">
      <alignment horizontal="center" vertical="center" wrapText="1"/>
    </xf>
    <xf numFmtId="0" fontId="15" fillId="7" borderId="4" xfId="0" applyFont="1" applyFill="1" applyBorder="1" applyAlignment="1">
      <alignment horizontal="center" vertical="center" wrapText="1"/>
    </xf>
    <xf numFmtId="0" fontId="5" fillId="0" borderId="11" xfId="0" applyFont="1" applyBorder="1"/>
    <xf numFmtId="0" fontId="5" fillId="0" borderId="12" xfId="0" applyFont="1" applyBorder="1"/>
  </cellXfs>
  <cellStyles count="2">
    <cellStyle name="Normal" xfId="0" builtinId="0"/>
    <cellStyle name="Normal 2" xfId="1" xr:uid="{6FBE8FC1-1156-492A-9198-795716757B5E}"/>
  </cellStyles>
  <dxfs count="122"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ill>
        <patternFill>
          <bgColor theme="0"/>
        </patternFill>
      </fill>
    </dxf>
    <dxf>
      <fill>
        <patternFill>
          <bgColor theme="0" tint="-4.9989318521683403E-2"/>
        </patternFill>
      </fill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sz val="20"/>
        <name val="Calibri"/>
        <family val="2"/>
        <scheme val="none"/>
      </font>
    </dxf>
    <dxf>
      <font>
        <strike val="0"/>
        <outline val="0"/>
        <shadow val="0"/>
        <u val="none"/>
        <vertAlign val="baseline"/>
        <name val="Calibri"/>
        <family val="2"/>
        <scheme val="none"/>
      </font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</dxfs>
  <tableStyles count="30">
    <tableStyle name="New 6X-style" pivot="0" count="2" xr9:uid="{00000000-0011-0000-FFFF-FFFF00000000}">
      <tableStyleElement type="firstRowStripe" dxfId="121"/>
      <tableStyleElement type="secondRowStripe" dxfId="120"/>
    </tableStyle>
    <tableStyle name="New 6X-style 2" pivot="0" count="2" xr9:uid="{00000000-0011-0000-FFFF-FFFF01000000}">
      <tableStyleElement type="firstRowStripe" dxfId="119"/>
      <tableStyleElement type="secondRowStripe" dxfId="118"/>
    </tableStyle>
    <tableStyle name="New 6X-style 3" pivot="0" count="2" xr9:uid="{00000000-0011-0000-FFFF-FFFF02000000}">
      <tableStyleElement type="firstRowStripe" dxfId="117"/>
      <tableStyleElement type="secondRowStripe" dxfId="116"/>
    </tableStyle>
    <tableStyle name="New 6X-style 4" pivot="0" count="2" xr9:uid="{00000000-0011-0000-FFFF-FFFF03000000}">
      <tableStyleElement type="firstRowStripe" dxfId="115"/>
      <tableStyleElement type="secondRowStripe" dxfId="114"/>
    </tableStyle>
    <tableStyle name="New 6X-style 5" pivot="0" count="2" xr9:uid="{00000000-0011-0000-FFFF-FFFF04000000}">
      <tableStyleElement type="firstRowStripe" dxfId="113"/>
      <tableStyleElement type="secondRowStripe" dxfId="112"/>
    </tableStyle>
    <tableStyle name="New 6X-style 6" pivot="0" count="2" xr9:uid="{00000000-0011-0000-FFFF-FFFF05000000}">
      <tableStyleElement type="firstRowStripe" dxfId="111"/>
      <tableStyleElement type="secondRowStripe" dxfId="110"/>
    </tableStyle>
    <tableStyle name="New 6X-style 7" pivot="0" count="2" xr9:uid="{00000000-0011-0000-FFFF-FFFF06000000}">
      <tableStyleElement type="firstRowStripe" dxfId="109"/>
      <tableStyleElement type="secondRowStripe" dxfId="108"/>
    </tableStyle>
    <tableStyle name="New 6X-style 8" pivot="0" count="2" xr9:uid="{00000000-0011-0000-FFFF-FFFF07000000}">
      <tableStyleElement type="firstRowStripe" dxfId="107"/>
      <tableStyleElement type="secondRowStripe" dxfId="106"/>
    </tableStyle>
    <tableStyle name="New 6X-style 9" pivot="0" count="2" xr9:uid="{00000000-0011-0000-FFFF-FFFF08000000}">
      <tableStyleElement type="firstRowStripe" dxfId="105"/>
      <tableStyleElement type="secondRowStripe" dxfId="104"/>
    </tableStyle>
    <tableStyle name="New 6X-style 10" pivot="0" count="2" xr9:uid="{00000000-0011-0000-FFFF-FFFF09000000}">
      <tableStyleElement type="firstRowStripe" dxfId="103"/>
      <tableStyleElement type="secondRowStripe" dxfId="102"/>
    </tableStyle>
    <tableStyle name="New 6X-style 11" pivot="0" count="2" xr9:uid="{00000000-0011-0000-FFFF-FFFF0A000000}">
      <tableStyleElement type="firstRowStripe" dxfId="101"/>
      <tableStyleElement type="secondRowStripe" dxfId="100"/>
    </tableStyle>
    <tableStyle name="New 6X-style 12" pivot="0" count="2" xr9:uid="{00000000-0011-0000-FFFF-FFFF0B000000}">
      <tableStyleElement type="firstRowStripe" dxfId="99"/>
      <tableStyleElement type="secondRowStripe" dxfId="98"/>
    </tableStyle>
    <tableStyle name="New 4x-style" pivot="0" count="2" xr9:uid="{00000000-0011-0000-FFFF-FFFF0C000000}">
      <tableStyleElement type="firstRowStripe" dxfId="97"/>
      <tableStyleElement type="secondRowStripe" dxfId="96"/>
    </tableStyle>
    <tableStyle name="New 4x-style 2" pivot="0" count="2" xr9:uid="{00000000-0011-0000-FFFF-FFFF0D000000}">
      <tableStyleElement type="firstRowStripe" dxfId="95"/>
      <tableStyleElement type="secondRowStripe" dxfId="94"/>
    </tableStyle>
    <tableStyle name="New 4x-style 3" pivot="0" count="2" xr9:uid="{00000000-0011-0000-FFFF-FFFF0E000000}">
      <tableStyleElement type="firstRowStripe" dxfId="93"/>
      <tableStyleElement type="secondRowStripe" dxfId="92"/>
    </tableStyle>
    <tableStyle name="Analytics 5X-style" pivot="0" count="2" xr9:uid="{00000000-0011-0000-FFFF-FFFF0F000000}">
      <tableStyleElement type="firstRowStripe" dxfId="91"/>
      <tableStyleElement type="secondRowStripe" dxfId="90"/>
    </tableStyle>
    <tableStyle name="Analytics 5X-style 2" pivot="0" count="2" xr9:uid="{00000000-0011-0000-FFFF-FFFF10000000}">
      <tableStyleElement type="firstRowStripe" dxfId="89"/>
      <tableStyleElement type="secondRowStripe" dxfId="88"/>
    </tableStyle>
    <tableStyle name="Analytics 5X-style 3" pivot="0" count="2" xr9:uid="{00000000-0011-0000-FFFF-FFFF11000000}">
      <tableStyleElement type="firstRowStripe" dxfId="87"/>
      <tableStyleElement type="secondRowStripe" dxfId="86"/>
    </tableStyle>
    <tableStyle name="Analytics 5X-style 4" pivot="0" count="2" xr9:uid="{00000000-0011-0000-FFFF-FFFF12000000}">
      <tableStyleElement type="firstRowStripe" dxfId="85"/>
      <tableStyleElement type="secondRowStripe" dxfId="84"/>
    </tableStyle>
    <tableStyle name="Analytics 5X-style 5" pivot="0" count="2" xr9:uid="{00000000-0011-0000-FFFF-FFFF13000000}">
      <tableStyleElement type="firstRowStripe" dxfId="83"/>
      <tableStyleElement type="secondRowStripe" dxfId="82"/>
    </tableStyle>
    <tableStyle name="Analytics 5X-style 6" pivot="0" count="2" xr9:uid="{00000000-0011-0000-FFFF-FFFF14000000}">
      <tableStyleElement type="firstRowStripe" dxfId="81"/>
      <tableStyleElement type="secondRowStripe" dxfId="80"/>
    </tableStyle>
    <tableStyle name="Analytics 5X-style 7" pivot="0" count="2" xr9:uid="{00000000-0011-0000-FFFF-FFFF15000000}">
      <tableStyleElement type="firstRowStripe" dxfId="79"/>
      <tableStyleElement type="secondRowStripe" dxfId="78"/>
    </tableStyle>
    <tableStyle name="Analytics 5X-style 8" pivot="0" count="2" xr9:uid="{00000000-0011-0000-FFFF-FFFF16000000}">
      <tableStyleElement type="firstRowStripe" dxfId="77"/>
      <tableStyleElement type="secondRowStripe" dxfId="76"/>
    </tableStyle>
    <tableStyle name="Analytics 5X-style 9" pivot="0" count="2" xr9:uid="{00000000-0011-0000-FFFF-FFFF17000000}">
      <tableStyleElement type="firstRowStripe" dxfId="75"/>
      <tableStyleElement type="secondRowStripe" dxfId="74"/>
    </tableStyle>
    <tableStyle name="Analytics 5X-style 10" pivot="0" count="2" xr9:uid="{00000000-0011-0000-FFFF-FFFF18000000}">
      <tableStyleElement type="firstRowStripe" dxfId="73"/>
      <tableStyleElement type="secondRowStripe" dxfId="72"/>
    </tableStyle>
    <tableStyle name="Analytics 5X-style 11" pivot="0" count="2" xr9:uid="{00000000-0011-0000-FFFF-FFFF19000000}">
      <tableStyleElement type="firstRowStripe" dxfId="71"/>
      <tableStyleElement type="secondRowStripe" dxfId="70"/>
    </tableStyle>
    <tableStyle name="Analytics 5X-style 12" pivot="0" count="2" xr9:uid="{00000000-0011-0000-FFFF-FFFF1A000000}">
      <tableStyleElement type="firstRowStripe" dxfId="69"/>
      <tableStyleElement type="secondRowStripe" dxfId="68"/>
    </tableStyle>
    <tableStyle name="Analytics 4x-style" pivot="0" count="2" xr9:uid="{00000000-0011-0000-FFFF-FFFF1B000000}">
      <tableStyleElement type="firstRowStripe" dxfId="67"/>
      <tableStyleElement type="secondRowStripe" dxfId="66"/>
    </tableStyle>
    <tableStyle name="Analytics 4x-style 2" pivot="0" count="2" xr9:uid="{00000000-0011-0000-FFFF-FFFF1C000000}">
      <tableStyleElement type="firstRowStripe" dxfId="65"/>
      <tableStyleElement type="secondRowStripe" dxfId="64"/>
    </tableStyle>
    <tableStyle name="Analytics 4x-style 3" pivot="0" count="2" xr9:uid="{00000000-0011-0000-FFFF-FFFF1D000000}">
      <tableStyleElement type="firstRowStripe" dxfId="63"/>
      <tableStyleElement type="secondRowStripe" dxfId="62"/>
    </tableStyle>
  </tableStyles>
  <colors>
    <mruColors>
      <color rgb="FF97BD0B"/>
      <color rgb="FF657F07"/>
      <color rgb="FFC6C5AA"/>
      <color rgb="FFCECDB5"/>
      <color rgb="FFD3D5B5"/>
      <color rgb="FFE9EADA"/>
      <color rgb="FFF9FEE8"/>
      <color rgb="FF679208"/>
      <color rgb="FF339933"/>
      <color rgb="FF00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C144:K153" headerRowCount="0">
  <tableColumns count="9">
    <tableColumn id="1" xr3:uid="{00000000-0010-0000-0000-000001000000}" name="Column1" dataDxfId="6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 dataDxfId="60"/>
    <tableColumn id="6" xr3:uid="{00000000-0010-0000-0000-000006000000}" name="Column6"/>
    <tableColumn id="7" xr3:uid="{00000000-0010-0000-0000-000007000000}" name="Column7"/>
    <tableColumn id="8" xr3:uid="{00000000-0010-0000-0000-000008000000}" name="Column8"/>
    <tableColumn id="9" xr3:uid="{00000000-0010-0000-0000-000009000000}" name="Column9"/>
  </tableColumns>
  <tableStyleInfo name="New 6X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C173:K182" headerRowCount="0">
  <tableColumns count="9">
    <tableColumn id="1" xr3:uid="{00000000-0010-0000-0100-000001000000}" name="Column1" dataDxfId="59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 dataDxfId="58"/>
    <tableColumn id="6" xr3:uid="{00000000-0010-0000-0100-000006000000}" name="Column6"/>
    <tableColumn id="7" xr3:uid="{00000000-0010-0000-0100-000007000000}" name="Column7"/>
    <tableColumn id="8" xr3:uid="{00000000-0010-0000-0100-000008000000}" name="Column8"/>
    <tableColumn id="9" xr3:uid="{00000000-0010-0000-0100-000009000000}" name="Column9"/>
  </tableColumns>
  <tableStyleInfo name="New 6X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C156:K171" headerRowCount="0">
  <tableColumns count="9">
    <tableColumn id="1" xr3:uid="{00000000-0010-0000-0200-000001000000}" name="Column1" dataDxfId="57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 dataDxfId="56"/>
    <tableColumn id="6" xr3:uid="{00000000-0010-0000-0200-000006000000}" name="Column6"/>
    <tableColumn id="7" xr3:uid="{00000000-0010-0000-0200-000007000000}" name="Column7"/>
    <tableColumn id="8" xr3:uid="{00000000-0010-0000-0200-000008000000}" name="Column8"/>
    <tableColumn id="9" xr3:uid="{00000000-0010-0000-0200-000009000000}" name="Column9"/>
  </tableColumns>
  <tableStyleInfo name="New 6X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C41:K56" headerRowCount="0">
  <tableColumns count="9">
    <tableColumn id="1" xr3:uid="{00000000-0010-0000-0300-000001000000}" name="Column1" dataDxfId="55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 dataDxfId="54"/>
    <tableColumn id="6" xr3:uid="{00000000-0010-0000-0300-000006000000}" name="Column6"/>
    <tableColumn id="7" xr3:uid="{00000000-0010-0000-0300-000007000000}" name="Column7"/>
    <tableColumn id="8" xr3:uid="{00000000-0010-0000-0300-000008000000}" name="Column8"/>
    <tableColumn id="9" xr3:uid="{00000000-0010-0000-0300-000009000000}" name="Column9"/>
  </tableColumns>
  <tableStyleInfo name="New 6X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C12:K27" headerRowCount="0">
  <tableColumns count="9">
    <tableColumn id="1" xr3:uid="{00000000-0010-0000-0400-000001000000}" name="Column1" dataDxfId="53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 dataDxfId="52"/>
    <tableColumn id="6" xr3:uid="{00000000-0010-0000-0400-000006000000}" name="Column6"/>
    <tableColumn id="7" xr3:uid="{00000000-0010-0000-0400-000007000000}" name="Column7"/>
    <tableColumn id="8" xr3:uid="{00000000-0010-0000-0400-000008000000}" name="Column8"/>
    <tableColumn id="9" xr3:uid="{00000000-0010-0000-0400-000009000000}" name="Column9"/>
  </tableColumns>
  <tableStyleInfo name="New 6X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C58:K67" headerRowCount="0">
  <tableColumns count="9">
    <tableColumn id="1" xr3:uid="{00000000-0010-0000-0500-000001000000}" name="Column1" dataDxfId="5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 dataDxfId="50"/>
    <tableColumn id="6" xr3:uid="{00000000-0010-0000-0500-000006000000}" name="Column6"/>
    <tableColumn id="7" xr3:uid="{00000000-0010-0000-0500-000007000000}" name="Column7"/>
    <tableColumn id="8" xr3:uid="{00000000-0010-0000-0500-000008000000}" name="Column8"/>
    <tableColumn id="9" xr3:uid="{00000000-0010-0000-0500-000009000000}" name="Column9"/>
  </tableColumns>
  <tableStyleInfo name="New 6X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C29:K38" headerRowCount="0">
  <tableColumns count="9">
    <tableColumn id="1" xr3:uid="{00000000-0010-0000-0600-000001000000}" name="Column1" dataDxfId="49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 dataDxfId="48"/>
    <tableColumn id="6" xr3:uid="{00000000-0010-0000-0600-000006000000}" name="Column6"/>
    <tableColumn id="7" xr3:uid="{00000000-0010-0000-0600-000007000000}" name="Column7"/>
    <tableColumn id="8" xr3:uid="{00000000-0010-0000-0600-000008000000}" name="Column8"/>
    <tableColumn id="9" xr3:uid="{00000000-0010-0000-0600-000009000000}" name="Column9"/>
  </tableColumns>
  <tableStyleInfo name="New 6X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C70:K85" headerRowCount="0">
  <tableColumns count="9">
    <tableColumn id="1" xr3:uid="{00000000-0010-0000-0700-000001000000}" name="Column1" dataDxfId="47"/>
    <tableColumn id="2" xr3:uid="{00000000-0010-0000-0700-000002000000}" name="Column2"/>
    <tableColumn id="3" xr3:uid="{00000000-0010-0000-0700-000003000000}" name="Column3"/>
    <tableColumn id="4" xr3:uid="{00000000-0010-0000-0700-000004000000}" name="Column4"/>
    <tableColumn id="5" xr3:uid="{00000000-0010-0000-0700-000005000000}" name="Column5" dataDxfId="46"/>
    <tableColumn id="6" xr3:uid="{00000000-0010-0000-0700-000006000000}" name="Column6"/>
    <tableColumn id="7" xr3:uid="{00000000-0010-0000-0700-000007000000}" name="Column7"/>
    <tableColumn id="8" xr3:uid="{00000000-0010-0000-0700-000008000000}" name="Column8"/>
    <tableColumn id="9" xr3:uid="{00000000-0010-0000-0700-000009000000}" name="Column9"/>
  </tableColumns>
  <tableStyleInfo name="New 6X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C214:K229" headerRowCount="0">
  <tableColumns count="9">
    <tableColumn id="1" xr3:uid="{00000000-0010-0000-0800-000001000000}" name="Column1" dataDxfId="45"/>
    <tableColumn id="2" xr3:uid="{00000000-0010-0000-0800-000002000000}" name="Column2"/>
    <tableColumn id="3" xr3:uid="{00000000-0010-0000-0800-000003000000}" name="Column3"/>
    <tableColumn id="4" xr3:uid="{00000000-0010-0000-0800-000004000000}" name="Column4"/>
    <tableColumn id="5" xr3:uid="{00000000-0010-0000-0800-000005000000}" name="Column5" dataDxfId="44"/>
    <tableColumn id="6" xr3:uid="{00000000-0010-0000-0800-000006000000}" name="Column6"/>
    <tableColumn id="7" xr3:uid="{00000000-0010-0000-0800-000007000000}" name="Column7"/>
    <tableColumn id="8" xr3:uid="{00000000-0010-0000-0800-000008000000}" name="Column8"/>
    <tableColumn id="9" xr3:uid="{00000000-0010-0000-0800-000009000000}" name="Column9"/>
  </tableColumns>
  <tableStyleInfo name="New 6X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C185:K200" headerRowCount="0">
  <tableColumns count="9">
    <tableColumn id="1" xr3:uid="{00000000-0010-0000-0900-000001000000}" name="Column1" dataDxfId="43"/>
    <tableColumn id="2" xr3:uid="{00000000-0010-0000-0900-000002000000}" name="Column2"/>
    <tableColumn id="3" xr3:uid="{00000000-0010-0000-0900-000003000000}" name="Column3"/>
    <tableColumn id="4" xr3:uid="{00000000-0010-0000-0900-000004000000}" name="Column4"/>
    <tableColumn id="5" xr3:uid="{00000000-0010-0000-0900-000005000000}" name="Column5" dataDxfId="42"/>
    <tableColumn id="6" xr3:uid="{00000000-0010-0000-0900-000006000000}" name="Column6"/>
    <tableColumn id="7" xr3:uid="{00000000-0010-0000-0900-000007000000}" name="Column7"/>
    <tableColumn id="8" xr3:uid="{00000000-0010-0000-0900-000008000000}" name="Column8"/>
    <tableColumn id="9" xr3:uid="{00000000-0010-0000-0900-000009000000}" name="Column9"/>
  </tableColumns>
  <tableStyleInfo name="New 6X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C99:K114" headerRowCount="0">
  <tableColumns count="9">
    <tableColumn id="1" xr3:uid="{00000000-0010-0000-0A00-000001000000}" name="Column1" dataDxfId="41"/>
    <tableColumn id="2" xr3:uid="{00000000-0010-0000-0A00-000002000000}" name="Column2"/>
    <tableColumn id="3" xr3:uid="{00000000-0010-0000-0A00-000003000000}" name="Column3"/>
    <tableColumn id="4" xr3:uid="{00000000-0010-0000-0A00-000004000000}" name="Column4"/>
    <tableColumn id="5" xr3:uid="{00000000-0010-0000-0A00-000005000000}" name="Column5" dataDxfId="40"/>
    <tableColumn id="6" xr3:uid="{00000000-0010-0000-0A00-000006000000}" name="Column6"/>
    <tableColumn id="7" xr3:uid="{00000000-0010-0000-0A00-000007000000}" name="Column7"/>
    <tableColumn id="8" xr3:uid="{00000000-0010-0000-0A00-000008000000}" name="Column8"/>
    <tableColumn id="9" xr3:uid="{00000000-0010-0000-0A00-000009000000}" name="Column9"/>
  </tableColumns>
  <tableStyleInfo name="New 6X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C129:K142" headerRowCount="0">
  <tableColumns count="9">
    <tableColumn id="1" xr3:uid="{00000000-0010-0000-0B00-000001000000}" name="Column1" dataDxfId="39"/>
    <tableColumn id="2" xr3:uid="{00000000-0010-0000-0B00-000002000000}" name="Column2"/>
    <tableColumn id="3" xr3:uid="{00000000-0010-0000-0B00-000003000000}" name="Column3"/>
    <tableColumn id="4" xr3:uid="{00000000-0010-0000-0B00-000004000000}" name="Column4"/>
    <tableColumn id="5" xr3:uid="{00000000-0010-0000-0B00-000005000000}" name="Column5" dataDxfId="38"/>
    <tableColumn id="6" xr3:uid="{00000000-0010-0000-0B00-000006000000}" name="Column6"/>
    <tableColumn id="7" xr3:uid="{00000000-0010-0000-0B00-000007000000}" name="Column7"/>
    <tableColumn id="8" xr3:uid="{00000000-0010-0000-0B00-000008000000}" name="Column8"/>
    <tableColumn id="9" xr3:uid="{00000000-0010-0000-0B00-000009000000}" name="Column9"/>
  </tableColumns>
  <tableStyleInfo name="New 6X-style 1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7.xml"/><Relationship Id="rId13" Type="http://schemas.openxmlformats.org/officeDocument/2006/relationships/table" Target="../tables/table12.xml"/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12" Type="http://schemas.openxmlformats.org/officeDocument/2006/relationships/table" Target="../tables/table11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11" Type="http://schemas.openxmlformats.org/officeDocument/2006/relationships/table" Target="../tables/table10.xml"/><Relationship Id="rId5" Type="http://schemas.openxmlformats.org/officeDocument/2006/relationships/table" Target="../tables/table4.xml"/><Relationship Id="rId10" Type="http://schemas.openxmlformats.org/officeDocument/2006/relationships/table" Target="../tables/table9.xml"/><Relationship Id="rId4" Type="http://schemas.openxmlformats.org/officeDocument/2006/relationships/table" Target="../tables/table3.xml"/><Relationship Id="rId9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314"/>
  <sheetViews>
    <sheetView showGridLines="0" tabSelected="1" zoomScale="70" zoomScaleNormal="70" workbookViewId="0">
      <selection activeCell="J8" sqref="J8"/>
    </sheetView>
  </sheetViews>
  <sheetFormatPr baseColWidth="10" defaultColWidth="14.5" defaultRowHeight="15.75" customHeight="1" x14ac:dyDescent="0.3"/>
  <cols>
    <col min="1" max="1" width="30" customWidth="1"/>
    <col min="2" max="2" width="27" customWidth="1"/>
    <col min="3" max="3" width="64.5" style="49" customWidth="1"/>
    <col min="4" max="4" width="20.1640625" customWidth="1"/>
    <col min="5" max="5" width="21" customWidth="1"/>
    <col min="6" max="6" width="18.83203125" customWidth="1"/>
    <col min="7" max="7" width="24.6640625" style="50" customWidth="1"/>
    <col min="8" max="8" width="20.33203125" customWidth="1"/>
    <col min="9" max="10" width="18.83203125" customWidth="1"/>
    <col min="11" max="11" width="105.5" customWidth="1"/>
    <col min="12" max="12" width="30" customWidth="1"/>
  </cols>
  <sheetData>
    <row r="1" spans="1:12" ht="36" customHeight="1" x14ac:dyDescent="0.15">
      <c r="A1" s="181"/>
      <c r="B1" s="147" t="s">
        <v>0</v>
      </c>
      <c r="C1" s="147"/>
      <c r="D1" s="147"/>
      <c r="E1" s="147"/>
      <c r="F1" s="147"/>
      <c r="G1" s="147"/>
      <c r="H1" s="147"/>
      <c r="I1" s="147"/>
      <c r="J1" s="147"/>
      <c r="K1" s="147"/>
      <c r="L1" s="183"/>
    </row>
    <row r="2" spans="1:12" ht="38.25" customHeight="1" x14ac:dyDescent="0.15">
      <c r="A2" s="182"/>
      <c r="B2" s="1"/>
      <c r="C2" s="2"/>
      <c r="D2" s="3"/>
      <c r="E2" s="3"/>
      <c r="F2" s="4"/>
      <c r="G2" s="10"/>
      <c r="H2" s="3"/>
      <c r="I2" s="3"/>
      <c r="J2" s="3"/>
      <c r="K2" s="44" t="s">
        <v>1</v>
      </c>
      <c r="L2" s="182"/>
    </row>
    <row r="3" spans="1:12" ht="81.75" customHeight="1" x14ac:dyDescent="0.15">
      <c r="A3" s="182"/>
      <c r="B3" s="1"/>
      <c r="C3" s="2"/>
      <c r="D3" s="184" t="s">
        <v>2</v>
      </c>
      <c r="E3" s="185"/>
      <c r="F3" s="185"/>
      <c r="G3" s="185"/>
      <c r="H3" s="186"/>
      <c r="I3" s="3"/>
      <c r="J3" s="3"/>
      <c r="K3" s="2"/>
      <c r="L3" s="182"/>
    </row>
    <row r="4" spans="1:12" ht="41.25" customHeight="1" x14ac:dyDescent="0.15">
      <c r="A4" s="182"/>
      <c r="B4" s="1"/>
      <c r="C4" s="2"/>
      <c r="D4" s="187" t="s">
        <v>3</v>
      </c>
      <c r="E4" s="188"/>
      <c r="F4" s="188"/>
      <c r="G4" s="188"/>
      <c r="H4" s="189"/>
      <c r="I4" s="3"/>
      <c r="J4" s="3"/>
      <c r="K4" s="5"/>
      <c r="L4" s="182"/>
    </row>
    <row r="5" spans="1:12" ht="21.75" customHeight="1" x14ac:dyDescent="0.15">
      <c r="A5" s="182"/>
      <c r="B5" s="6"/>
      <c r="C5" s="2"/>
      <c r="D5" s="7"/>
      <c r="E5" s="7"/>
      <c r="F5" s="8"/>
      <c r="G5" s="10"/>
      <c r="H5" s="7"/>
      <c r="I5" s="7"/>
      <c r="J5" s="7"/>
      <c r="K5" s="9"/>
      <c r="L5" s="182"/>
    </row>
    <row r="6" spans="1:12" ht="21.75" customHeight="1" x14ac:dyDescent="0.15">
      <c r="A6" s="182"/>
      <c r="B6" s="1"/>
      <c r="C6" s="2"/>
      <c r="D6" s="3"/>
      <c r="E6" s="3"/>
      <c r="F6" s="4"/>
      <c r="G6" s="10"/>
      <c r="H6" s="3"/>
      <c r="I6" s="3"/>
      <c r="J6" s="3"/>
      <c r="K6" s="2"/>
      <c r="L6" s="182"/>
    </row>
    <row r="7" spans="1:12" ht="55.5" customHeight="1" x14ac:dyDescent="0.15">
      <c r="A7" s="182"/>
      <c r="B7" s="6"/>
      <c r="C7" s="190" t="s">
        <v>4</v>
      </c>
      <c r="D7" s="191"/>
      <c r="E7" s="51" t="s">
        <v>5</v>
      </c>
      <c r="F7" s="52" t="s">
        <v>6</v>
      </c>
      <c r="G7" s="51" t="s">
        <v>7</v>
      </c>
      <c r="H7" s="51" t="s">
        <v>8</v>
      </c>
      <c r="I7" s="10"/>
      <c r="J7" s="7"/>
      <c r="K7" s="9"/>
      <c r="L7" s="182"/>
    </row>
    <row r="8" spans="1:12" ht="54.75" customHeight="1" x14ac:dyDescent="0.15">
      <c r="A8" s="182"/>
      <c r="B8" s="6"/>
      <c r="C8" s="192"/>
      <c r="D8" s="193"/>
      <c r="E8" s="53">
        <v>405</v>
      </c>
      <c r="F8" s="54" t="s">
        <v>166</v>
      </c>
      <c r="G8" s="53">
        <v>500</v>
      </c>
      <c r="H8" s="53">
        <v>225</v>
      </c>
      <c r="I8" s="7"/>
      <c r="J8" s="10"/>
      <c r="K8" s="9"/>
      <c r="L8" s="182"/>
    </row>
    <row r="9" spans="1:12" ht="27" customHeight="1" x14ac:dyDescent="0.15">
      <c r="A9" s="182"/>
      <c r="B9" s="6"/>
      <c r="C9" s="9"/>
      <c r="D9" s="7"/>
      <c r="E9" s="7"/>
      <c r="F9" s="8"/>
      <c r="G9" s="10"/>
      <c r="H9" s="7"/>
      <c r="I9" s="7"/>
      <c r="J9" s="7"/>
      <c r="K9" s="9"/>
      <c r="L9" s="182"/>
    </row>
    <row r="10" spans="1:12" ht="30" customHeight="1" x14ac:dyDescent="0.15">
      <c r="A10" s="182"/>
      <c r="B10" s="194"/>
      <c r="C10" s="182"/>
      <c r="D10" s="182"/>
      <c r="E10" s="182"/>
      <c r="F10" s="182"/>
      <c r="G10" s="182"/>
      <c r="H10" s="182"/>
      <c r="I10" s="182"/>
      <c r="J10" s="182"/>
      <c r="K10" s="182"/>
      <c r="L10" s="182"/>
    </row>
    <row r="11" spans="1:12" ht="22" x14ac:dyDescent="0.15">
      <c r="A11" s="182"/>
      <c r="B11" s="33" t="s">
        <v>9</v>
      </c>
      <c r="C11" s="33" t="s">
        <v>10</v>
      </c>
      <c r="D11" s="33" t="s">
        <v>11</v>
      </c>
      <c r="E11" s="33" t="s">
        <v>12</v>
      </c>
      <c r="F11" s="34" t="s">
        <v>13</v>
      </c>
      <c r="G11" s="33" t="s">
        <v>14</v>
      </c>
      <c r="H11" s="34" t="s">
        <v>15</v>
      </c>
      <c r="I11" s="34" t="s">
        <v>16</v>
      </c>
      <c r="J11" s="34" t="s">
        <v>17</v>
      </c>
      <c r="K11" s="35" t="s">
        <v>18</v>
      </c>
      <c r="L11" s="182"/>
    </row>
    <row r="12" spans="1:12" ht="27" x14ac:dyDescent="0.15">
      <c r="A12" s="182"/>
      <c r="B12" s="148" t="s">
        <v>19</v>
      </c>
      <c r="C12" s="45" t="s">
        <v>20</v>
      </c>
      <c r="D12" s="46">
        <v>4</v>
      </c>
      <c r="E12" s="46">
        <v>1</v>
      </c>
      <c r="F12" s="47" t="s">
        <v>21</v>
      </c>
      <c r="G12" s="48" t="str">
        <f>IF(D4="kg",MROUND(E8*0.85,2.5)&amp;"-"&amp;MROUND(E8*0.875,2.5),MROUND(E8*0.85,5)&amp;"-"&amp;MROUND(E8*0.875,5))</f>
        <v>345-355</v>
      </c>
      <c r="H12" s="48" t="s">
        <v>22</v>
      </c>
      <c r="I12" s="48" t="s">
        <v>23</v>
      </c>
      <c r="J12" s="47" t="s">
        <v>24</v>
      </c>
      <c r="K12" s="45" t="s">
        <v>25</v>
      </c>
      <c r="L12" s="182"/>
    </row>
    <row r="13" spans="1:12" ht="27" x14ac:dyDescent="0.15">
      <c r="A13" s="182"/>
      <c r="B13" s="149"/>
      <c r="C13" s="55" t="s">
        <v>26</v>
      </c>
      <c r="D13" s="56">
        <v>0</v>
      </c>
      <c r="E13" s="56">
        <v>3</v>
      </c>
      <c r="F13" s="57" t="s">
        <v>27</v>
      </c>
      <c r="G13" s="58" t="str">
        <f>IF(D4="kg",MROUND(E8*0.75,2.5)&amp;"-"&amp;MROUND(E8*0.775,2.5),MROUND(E8*0.75,5)&amp;"-"&amp;MROUND(E8*0.775,5))</f>
        <v>305-315</v>
      </c>
      <c r="H13" s="58" t="s">
        <v>28</v>
      </c>
      <c r="I13" s="59">
        <v>44750</v>
      </c>
      <c r="J13" s="57" t="s">
        <v>24</v>
      </c>
      <c r="K13" s="11" t="s">
        <v>29</v>
      </c>
      <c r="L13" s="182"/>
    </row>
    <row r="14" spans="1:12" ht="54" x14ac:dyDescent="0.15">
      <c r="A14" s="182"/>
      <c r="B14" s="149"/>
      <c r="C14" s="60" t="s">
        <v>30</v>
      </c>
      <c r="D14" s="61">
        <v>3</v>
      </c>
      <c r="E14" s="61">
        <v>2</v>
      </c>
      <c r="F14" s="62" t="s">
        <v>31</v>
      </c>
      <c r="G14" s="63">
        <f>IF(D4="kg",MROUND(H8*0.7,2.5),MROUND(H8*0.7,5))</f>
        <v>157.5</v>
      </c>
      <c r="H14" s="64">
        <v>0.7</v>
      </c>
      <c r="I14" s="61">
        <v>6</v>
      </c>
      <c r="J14" s="62" t="s">
        <v>32</v>
      </c>
      <c r="K14" s="65" t="s">
        <v>33</v>
      </c>
      <c r="L14" s="182"/>
    </row>
    <row r="15" spans="1:12" ht="54" x14ac:dyDescent="0.15">
      <c r="A15" s="182"/>
      <c r="B15" s="149"/>
      <c r="C15" s="66" t="s">
        <v>34</v>
      </c>
      <c r="D15" s="67">
        <v>2</v>
      </c>
      <c r="E15" s="67">
        <v>2</v>
      </c>
      <c r="F15" s="68" t="s">
        <v>35</v>
      </c>
      <c r="G15" s="67"/>
      <c r="H15" s="67" t="s">
        <v>36</v>
      </c>
      <c r="I15" s="69">
        <v>6</v>
      </c>
      <c r="J15" s="67" t="s">
        <v>32</v>
      </c>
      <c r="K15" s="66" t="s">
        <v>37</v>
      </c>
      <c r="L15" s="182"/>
    </row>
    <row r="16" spans="1:12" ht="27" x14ac:dyDescent="0.15">
      <c r="A16" s="182"/>
      <c r="B16" s="150"/>
      <c r="C16" s="70" t="s">
        <v>38</v>
      </c>
      <c r="D16" s="71">
        <v>1</v>
      </c>
      <c r="E16" s="71">
        <v>4</v>
      </c>
      <c r="F16" s="72" t="s">
        <v>35</v>
      </c>
      <c r="G16" s="73"/>
      <c r="H16" s="71" t="s">
        <v>36</v>
      </c>
      <c r="I16" s="73">
        <v>9</v>
      </c>
      <c r="J16" s="74" t="s">
        <v>39</v>
      </c>
      <c r="K16" s="70" t="s">
        <v>40</v>
      </c>
      <c r="L16" s="182"/>
    </row>
    <row r="17" spans="1:12" ht="54" x14ac:dyDescent="0.15">
      <c r="A17" s="182"/>
      <c r="B17" s="148" t="s">
        <v>41</v>
      </c>
      <c r="C17" s="45" t="s">
        <v>42</v>
      </c>
      <c r="D17" s="48">
        <v>4</v>
      </c>
      <c r="E17" s="48">
        <v>1</v>
      </c>
      <c r="F17" s="47" t="s">
        <v>21</v>
      </c>
      <c r="G17" s="48" t="str">
        <f>IF(D4="kg",MROUND(F8*0.875,2.5)&amp;"-"&amp;MROUND(F8*0.9,2.5),MROUND(F8*0.875,5)&amp;"-"&amp;MROUND(F8*0.9,5))</f>
        <v>302.5-310</v>
      </c>
      <c r="H17" s="48" t="s">
        <v>43</v>
      </c>
      <c r="I17" s="46" t="s">
        <v>44</v>
      </c>
      <c r="J17" s="47" t="s">
        <v>24</v>
      </c>
      <c r="K17" s="45" t="s">
        <v>45</v>
      </c>
      <c r="L17" s="182"/>
    </row>
    <row r="18" spans="1:12" ht="54" x14ac:dyDescent="0.15">
      <c r="A18" s="182"/>
      <c r="B18" s="149"/>
      <c r="C18" s="75" t="s">
        <v>46</v>
      </c>
      <c r="D18" s="76">
        <v>0</v>
      </c>
      <c r="E18" s="76">
        <v>3</v>
      </c>
      <c r="F18" s="77" t="s">
        <v>47</v>
      </c>
      <c r="G18" s="76">
        <f>IF(D4="kg",MROUND(F8*0.825,2.5),MROUND(F8*0.825,5))</f>
        <v>285</v>
      </c>
      <c r="H18" s="78">
        <v>0.82499999999999996</v>
      </c>
      <c r="I18" s="79">
        <v>44750</v>
      </c>
      <c r="J18" s="77" t="s">
        <v>24</v>
      </c>
      <c r="K18" s="65" t="s">
        <v>48</v>
      </c>
      <c r="L18" s="182"/>
    </row>
    <row r="19" spans="1:12" ht="27" x14ac:dyDescent="0.15">
      <c r="A19" s="182"/>
      <c r="B19" s="149"/>
      <c r="C19" s="75" t="s">
        <v>49</v>
      </c>
      <c r="D19" s="80">
        <v>1</v>
      </c>
      <c r="E19" s="80">
        <v>3</v>
      </c>
      <c r="F19" s="77" t="s">
        <v>50</v>
      </c>
      <c r="G19" s="76"/>
      <c r="H19" s="76" t="s">
        <v>36</v>
      </c>
      <c r="I19" s="67">
        <v>8</v>
      </c>
      <c r="J19" s="77" t="s">
        <v>39</v>
      </c>
      <c r="K19" s="65" t="s">
        <v>51</v>
      </c>
      <c r="L19" s="182"/>
    </row>
    <row r="20" spans="1:12" ht="54" x14ac:dyDescent="0.15">
      <c r="A20" s="182"/>
      <c r="B20" s="149"/>
      <c r="C20" s="75" t="s">
        <v>52</v>
      </c>
      <c r="D20" s="80">
        <v>1</v>
      </c>
      <c r="E20" s="80">
        <v>4</v>
      </c>
      <c r="F20" s="77" t="s">
        <v>53</v>
      </c>
      <c r="G20" s="76"/>
      <c r="H20" s="76" t="s">
        <v>36</v>
      </c>
      <c r="I20" s="80">
        <v>10</v>
      </c>
      <c r="J20" s="77" t="s">
        <v>39</v>
      </c>
      <c r="K20" s="65" t="s">
        <v>54</v>
      </c>
      <c r="L20" s="182"/>
    </row>
    <row r="21" spans="1:12" ht="27" x14ac:dyDescent="0.15">
      <c r="A21" s="182"/>
      <c r="B21" s="149"/>
      <c r="C21" s="81" t="s">
        <v>55</v>
      </c>
      <c r="D21" s="67">
        <v>0</v>
      </c>
      <c r="E21" s="67">
        <v>3</v>
      </c>
      <c r="F21" s="68" t="s">
        <v>56</v>
      </c>
      <c r="G21" s="82"/>
      <c r="H21" s="68" t="s">
        <v>36</v>
      </c>
      <c r="I21" s="67">
        <v>9</v>
      </c>
      <c r="J21" s="68" t="s">
        <v>39</v>
      </c>
      <c r="K21" s="65" t="s">
        <v>57</v>
      </c>
      <c r="L21" s="182"/>
    </row>
    <row r="22" spans="1:12" ht="27" x14ac:dyDescent="0.15">
      <c r="A22" s="182"/>
      <c r="B22" s="149"/>
      <c r="C22" s="75" t="s">
        <v>58</v>
      </c>
      <c r="D22" s="80">
        <v>1</v>
      </c>
      <c r="E22" s="80">
        <v>3</v>
      </c>
      <c r="F22" s="77" t="s">
        <v>50</v>
      </c>
      <c r="G22" s="80"/>
      <c r="H22" s="77" t="s">
        <v>36</v>
      </c>
      <c r="I22" s="77" t="s">
        <v>59</v>
      </c>
      <c r="J22" s="83" t="s">
        <v>39</v>
      </c>
      <c r="K22" s="65" t="s">
        <v>60</v>
      </c>
      <c r="L22" s="182"/>
    </row>
    <row r="23" spans="1:12" ht="54" x14ac:dyDescent="0.15">
      <c r="A23" s="182"/>
      <c r="B23" s="150"/>
      <c r="C23" s="84" t="s">
        <v>61</v>
      </c>
      <c r="D23" s="26">
        <v>0</v>
      </c>
      <c r="E23" s="26">
        <v>3</v>
      </c>
      <c r="F23" s="85" t="s">
        <v>53</v>
      </c>
      <c r="G23" s="86"/>
      <c r="H23" s="87" t="s">
        <v>36</v>
      </c>
      <c r="I23" s="26">
        <v>8</v>
      </c>
      <c r="J23" s="85" t="s">
        <v>39</v>
      </c>
      <c r="K23" s="12" t="s">
        <v>62</v>
      </c>
      <c r="L23" s="182"/>
    </row>
    <row r="24" spans="1:12" ht="54" x14ac:dyDescent="0.15">
      <c r="A24" s="182"/>
      <c r="B24" s="157" t="s">
        <v>63</v>
      </c>
      <c r="C24" s="88" t="s">
        <v>64</v>
      </c>
      <c r="D24" s="89">
        <v>3</v>
      </c>
      <c r="E24" s="89">
        <v>3</v>
      </c>
      <c r="F24" s="90" t="s">
        <v>31</v>
      </c>
      <c r="G24" s="91"/>
      <c r="H24" s="89" t="s">
        <v>36</v>
      </c>
      <c r="I24" s="89">
        <v>6</v>
      </c>
      <c r="J24" s="90" t="s">
        <v>65</v>
      </c>
      <c r="K24" s="65" t="s">
        <v>66</v>
      </c>
      <c r="L24" s="182"/>
    </row>
    <row r="25" spans="1:12" ht="27" x14ac:dyDescent="0.15">
      <c r="A25" s="182"/>
      <c r="B25" s="149"/>
      <c r="C25" s="75" t="s">
        <v>67</v>
      </c>
      <c r="D25" s="80">
        <v>3</v>
      </c>
      <c r="E25" s="80">
        <v>3</v>
      </c>
      <c r="F25" s="77" t="s">
        <v>31</v>
      </c>
      <c r="G25" s="92"/>
      <c r="H25" s="76" t="s">
        <v>36</v>
      </c>
      <c r="I25" s="80">
        <v>6</v>
      </c>
      <c r="J25" s="77" t="s">
        <v>65</v>
      </c>
      <c r="K25" s="65" t="s">
        <v>68</v>
      </c>
      <c r="L25" s="182"/>
    </row>
    <row r="26" spans="1:12" ht="27" x14ac:dyDescent="0.15">
      <c r="A26" s="182"/>
      <c r="B26" s="149"/>
      <c r="C26" s="75" t="s">
        <v>69</v>
      </c>
      <c r="D26" s="80">
        <v>1</v>
      </c>
      <c r="E26" s="80">
        <v>4</v>
      </c>
      <c r="F26" s="77" t="s">
        <v>53</v>
      </c>
      <c r="G26" s="93"/>
      <c r="H26" s="80" t="s">
        <v>36</v>
      </c>
      <c r="I26" s="76">
        <v>9</v>
      </c>
      <c r="J26" s="80" t="s">
        <v>32</v>
      </c>
      <c r="K26" s="65" t="s">
        <v>70</v>
      </c>
      <c r="L26" s="182"/>
    </row>
    <row r="27" spans="1:12" ht="27" x14ac:dyDescent="0.15">
      <c r="A27" s="182"/>
      <c r="B27" s="150"/>
      <c r="C27" s="75" t="s">
        <v>71</v>
      </c>
      <c r="D27" s="80">
        <v>1</v>
      </c>
      <c r="E27" s="80">
        <v>3</v>
      </c>
      <c r="F27" s="77" t="s">
        <v>35</v>
      </c>
      <c r="G27" s="92"/>
      <c r="H27" s="76" t="s">
        <v>36</v>
      </c>
      <c r="I27" s="80">
        <v>10</v>
      </c>
      <c r="J27" s="77" t="s">
        <v>39</v>
      </c>
      <c r="K27" s="13" t="s">
        <v>72</v>
      </c>
      <c r="L27" s="182"/>
    </row>
    <row r="28" spans="1:12" ht="26.25" customHeight="1" x14ac:dyDescent="0.15">
      <c r="A28" s="182"/>
      <c r="B28" s="158" t="s">
        <v>73</v>
      </c>
      <c r="C28" s="159"/>
      <c r="D28" s="159"/>
      <c r="E28" s="159"/>
      <c r="F28" s="159"/>
      <c r="G28" s="159"/>
      <c r="H28" s="159"/>
      <c r="I28" s="159"/>
      <c r="J28" s="159"/>
      <c r="K28" s="160"/>
      <c r="L28" s="182"/>
    </row>
    <row r="29" spans="1:12" ht="27" x14ac:dyDescent="0.15">
      <c r="A29" s="182"/>
      <c r="B29" s="148" t="s">
        <v>74</v>
      </c>
      <c r="C29" s="94" t="s">
        <v>75</v>
      </c>
      <c r="D29" s="95">
        <v>4</v>
      </c>
      <c r="E29" s="95">
        <v>1</v>
      </c>
      <c r="F29" s="96" t="s">
        <v>76</v>
      </c>
      <c r="G29" s="95">
        <f>IF(D4="kg",MROUND(G8*0.85,2.5),MROUND(G8*0.85,5))</f>
        <v>425</v>
      </c>
      <c r="H29" s="97">
        <v>0.85</v>
      </c>
      <c r="I29" s="98">
        <v>44782</v>
      </c>
      <c r="J29" s="96" t="s">
        <v>24</v>
      </c>
      <c r="K29" s="99" t="s">
        <v>77</v>
      </c>
      <c r="L29" s="182"/>
    </row>
    <row r="30" spans="1:12" ht="27" x14ac:dyDescent="0.15">
      <c r="A30" s="182"/>
      <c r="B30" s="149"/>
      <c r="C30" s="81" t="s">
        <v>78</v>
      </c>
      <c r="D30" s="67">
        <v>0</v>
      </c>
      <c r="E30" s="67">
        <v>2</v>
      </c>
      <c r="F30" s="68" t="s">
        <v>76</v>
      </c>
      <c r="G30" s="69">
        <f>IF(D4="kg",MROUND(G8*0.675,2.5),MROUND(G8*0.675,5))</f>
        <v>337.5</v>
      </c>
      <c r="H30" s="100">
        <v>0.67500000000000004</v>
      </c>
      <c r="I30" s="67">
        <v>7</v>
      </c>
      <c r="J30" s="68" t="s">
        <v>65</v>
      </c>
      <c r="K30" s="66" t="s">
        <v>79</v>
      </c>
      <c r="L30" s="182"/>
    </row>
    <row r="31" spans="1:12" ht="54" x14ac:dyDescent="0.15">
      <c r="A31" s="182"/>
      <c r="B31" s="149"/>
      <c r="C31" s="75" t="s">
        <v>80</v>
      </c>
      <c r="D31" s="80">
        <v>0</v>
      </c>
      <c r="E31" s="80">
        <v>4</v>
      </c>
      <c r="F31" s="77" t="s">
        <v>56</v>
      </c>
      <c r="G31" s="76"/>
      <c r="H31" s="76" t="s">
        <v>36</v>
      </c>
      <c r="I31" s="80">
        <v>9</v>
      </c>
      <c r="J31" s="77" t="s">
        <v>39</v>
      </c>
      <c r="K31" s="65" t="s">
        <v>81</v>
      </c>
      <c r="L31" s="182"/>
    </row>
    <row r="32" spans="1:12" ht="27" x14ac:dyDescent="0.15">
      <c r="A32" s="182"/>
      <c r="B32" s="149"/>
      <c r="C32" s="81" t="s">
        <v>82</v>
      </c>
      <c r="D32" s="67">
        <v>1</v>
      </c>
      <c r="E32" s="67">
        <v>4</v>
      </c>
      <c r="F32" s="68" t="s">
        <v>56</v>
      </c>
      <c r="G32" s="82"/>
      <c r="H32" s="68" t="s">
        <v>36</v>
      </c>
      <c r="I32" s="67">
        <v>9</v>
      </c>
      <c r="J32" s="68" t="s">
        <v>39</v>
      </c>
      <c r="K32" s="66" t="s">
        <v>83</v>
      </c>
      <c r="L32" s="182"/>
    </row>
    <row r="33" spans="1:12" ht="54" x14ac:dyDescent="0.15">
      <c r="A33" s="182"/>
      <c r="B33" s="149"/>
      <c r="C33" s="75" t="s">
        <v>84</v>
      </c>
      <c r="D33" s="80">
        <v>1</v>
      </c>
      <c r="E33" s="80">
        <v>3</v>
      </c>
      <c r="F33" s="77" t="s">
        <v>56</v>
      </c>
      <c r="G33" s="80"/>
      <c r="H33" s="77" t="s">
        <v>36</v>
      </c>
      <c r="I33" s="77" t="s">
        <v>85</v>
      </c>
      <c r="J33" s="83" t="s">
        <v>39</v>
      </c>
      <c r="K33" s="65" t="s">
        <v>86</v>
      </c>
      <c r="L33" s="182"/>
    </row>
    <row r="34" spans="1:12" ht="27" x14ac:dyDescent="0.15">
      <c r="A34" s="182"/>
      <c r="B34" s="150"/>
      <c r="C34" s="84" t="s">
        <v>87</v>
      </c>
      <c r="D34" s="26">
        <v>1</v>
      </c>
      <c r="E34" s="26">
        <v>4</v>
      </c>
      <c r="F34" s="85" t="s">
        <v>35</v>
      </c>
      <c r="G34" s="86"/>
      <c r="H34" s="87" t="s">
        <v>36</v>
      </c>
      <c r="I34" s="26">
        <v>9</v>
      </c>
      <c r="J34" s="85" t="s">
        <v>39</v>
      </c>
      <c r="K34" s="101" t="s">
        <v>88</v>
      </c>
      <c r="L34" s="182"/>
    </row>
    <row r="35" spans="1:12" ht="27" x14ac:dyDescent="0.15">
      <c r="A35" s="182"/>
      <c r="B35" s="148" t="s">
        <v>89</v>
      </c>
      <c r="C35" s="102" t="s">
        <v>26</v>
      </c>
      <c r="D35" s="103">
        <v>4</v>
      </c>
      <c r="E35" s="63">
        <v>4</v>
      </c>
      <c r="F35" s="62" t="s">
        <v>90</v>
      </c>
      <c r="G35" s="63">
        <f>IF(D4="kg",MROUND(E8*0.7,2.5),MROUND(E8*0.7,5))</f>
        <v>282.5</v>
      </c>
      <c r="H35" s="62" t="s">
        <v>91</v>
      </c>
      <c r="I35" s="104">
        <v>44750</v>
      </c>
      <c r="J35" s="62" t="s">
        <v>24</v>
      </c>
      <c r="K35" s="60" t="s">
        <v>29</v>
      </c>
      <c r="L35" s="182"/>
    </row>
    <row r="36" spans="1:12" ht="54" x14ac:dyDescent="0.15">
      <c r="A36" s="182"/>
      <c r="B36" s="149"/>
      <c r="C36" s="60" t="s">
        <v>46</v>
      </c>
      <c r="D36" s="63">
        <v>4</v>
      </c>
      <c r="E36" s="63">
        <v>4</v>
      </c>
      <c r="F36" s="62" t="s">
        <v>90</v>
      </c>
      <c r="G36" s="63">
        <f>IF(D4="kg",MROUND(F8*0.725,2.5),MROUND(F8*0.725,5))</f>
        <v>250</v>
      </c>
      <c r="H36" s="62" t="s">
        <v>92</v>
      </c>
      <c r="I36" s="104">
        <v>44750</v>
      </c>
      <c r="J36" s="62" t="s">
        <v>24</v>
      </c>
      <c r="K36" s="60" t="s">
        <v>48</v>
      </c>
      <c r="L36" s="182"/>
    </row>
    <row r="37" spans="1:12" ht="27" x14ac:dyDescent="0.15">
      <c r="A37" s="182"/>
      <c r="B37" s="149"/>
      <c r="C37" s="65" t="s">
        <v>93</v>
      </c>
      <c r="D37" s="76">
        <v>1</v>
      </c>
      <c r="E37" s="76">
        <v>3</v>
      </c>
      <c r="F37" s="77" t="s">
        <v>50</v>
      </c>
      <c r="G37" s="76"/>
      <c r="H37" s="77" t="s">
        <v>36</v>
      </c>
      <c r="I37" s="76">
        <v>8</v>
      </c>
      <c r="J37" s="77" t="s">
        <v>32</v>
      </c>
      <c r="K37" s="65" t="s">
        <v>94</v>
      </c>
      <c r="L37" s="182"/>
    </row>
    <row r="38" spans="1:12" ht="54" x14ac:dyDescent="0.15">
      <c r="A38" s="182"/>
      <c r="B38" s="150"/>
      <c r="C38" s="66" t="s">
        <v>95</v>
      </c>
      <c r="D38" s="69">
        <v>0</v>
      </c>
      <c r="E38" s="69">
        <v>3</v>
      </c>
      <c r="F38" s="68" t="s">
        <v>96</v>
      </c>
      <c r="G38" s="69"/>
      <c r="H38" s="68" t="s">
        <v>36</v>
      </c>
      <c r="I38" s="69">
        <v>8</v>
      </c>
      <c r="J38" s="68" t="s">
        <v>39</v>
      </c>
      <c r="K38" s="66" t="s">
        <v>97</v>
      </c>
      <c r="L38" s="182"/>
    </row>
    <row r="39" spans="1:12" ht="27" customHeight="1" x14ac:dyDescent="0.15">
      <c r="A39" s="182"/>
      <c r="B39" s="158" t="s">
        <v>73</v>
      </c>
      <c r="C39" s="159"/>
      <c r="D39" s="159"/>
      <c r="E39" s="159"/>
      <c r="F39" s="159"/>
      <c r="G39" s="159"/>
      <c r="H39" s="159"/>
      <c r="I39" s="159"/>
      <c r="J39" s="159"/>
      <c r="K39" s="160"/>
      <c r="L39" s="182"/>
    </row>
    <row r="40" spans="1:12" ht="22" x14ac:dyDescent="0.15">
      <c r="A40" s="182"/>
      <c r="B40" s="33" t="s">
        <v>98</v>
      </c>
      <c r="C40" s="33" t="s">
        <v>10</v>
      </c>
      <c r="D40" s="33" t="s">
        <v>11</v>
      </c>
      <c r="E40" s="33" t="s">
        <v>12</v>
      </c>
      <c r="F40" s="34" t="s">
        <v>13</v>
      </c>
      <c r="G40" s="33" t="s">
        <v>14</v>
      </c>
      <c r="H40" s="34" t="s">
        <v>15</v>
      </c>
      <c r="I40" s="34" t="s">
        <v>16</v>
      </c>
      <c r="J40" s="34" t="s">
        <v>17</v>
      </c>
      <c r="K40" s="35" t="s">
        <v>18</v>
      </c>
      <c r="L40" s="182"/>
    </row>
    <row r="41" spans="1:12" ht="27" x14ac:dyDescent="0.15">
      <c r="A41" s="182"/>
      <c r="B41" s="148" t="s">
        <v>19</v>
      </c>
      <c r="C41" s="45" t="s">
        <v>20</v>
      </c>
      <c r="D41" s="46">
        <v>4</v>
      </c>
      <c r="E41" s="46">
        <v>1</v>
      </c>
      <c r="F41" s="47" t="s">
        <v>21</v>
      </c>
      <c r="G41" s="105" t="str">
        <f>IF(D4="kg",MROUND(E8*0.85,2.5)&amp;"-"&amp;MROUND(E8*0.875,2.5),MROUND(E8*0.85,5)&amp;"-"&amp;MROUND(E8*0.875,5))</f>
        <v>345-355</v>
      </c>
      <c r="H41" s="48" t="s">
        <v>22</v>
      </c>
      <c r="I41" s="48" t="s">
        <v>23</v>
      </c>
      <c r="J41" s="106" t="s">
        <v>24</v>
      </c>
      <c r="K41" s="45" t="s">
        <v>25</v>
      </c>
      <c r="L41" s="182"/>
    </row>
    <row r="42" spans="1:12" ht="27" x14ac:dyDescent="0.15">
      <c r="A42" s="182"/>
      <c r="B42" s="149"/>
      <c r="C42" s="66" t="s">
        <v>26</v>
      </c>
      <c r="D42" s="67">
        <v>0</v>
      </c>
      <c r="E42" s="67">
        <v>3</v>
      </c>
      <c r="F42" s="68" t="s">
        <v>27</v>
      </c>
      <c r="G42" s="69" t="str">
        <f>IF(D4="kg",MROUND(E8*0.75,2.5)&amp;"-"&amp;MROUND(E8*0.775,2.5),MROUND(E8*0.75,5)&amp;"-"&amp;MROUND(E8*0.775,5))</f>
        <v>305-315</v>
      </c>
      <c r="H42" s="69" t="s">
        <v>28</v>
      </c>
      <c r="I42" s="107">
        <v>44750</v>
      </c>
      <c r="J42" s="68" t="s">
        <v>24</v>
      </c>
      <c r="K42" s="66" t="s">
        <v>29</v>
      </c>
      <c r="L42" s="182"/>
    </row>
    <row r="43" spans="1:12" ht="54" x14ac:dyDescent="0.15">
      <c r="A43" s="182"/>
      <c r="B43" s="149"/>
      <c r="C43" s="60" t="s">
        <v>30</v>
      </c>
      <c r="D43" s="61">
        <v>3</v>
      </c>
      <c r="E43" s="61">
        <v>2</v>
      </c>
      <c r="F43" s="62" t="s">
        <v>31</v>
      </c>
      <c r="G43" s="63">
        <f>IF(D4="kg",MROUND(H8*0.7,2.5),MROUND(H8*0.7,5))</f>
        <v>157.5</v>
      </c>
      <c r="H43" s="64">
        <v>0.7</v>
      </c>
      <c r="I43" s="61">
        <v>6</v>
      </c>
      <c r="J43" s="62" t="s">
        <v>32</v>
      </c>
      <c r="K43" s="65" t="s">
        <v>33</v>
      </c>
      <c r="L43" s="182"/>
    </row>
    <row r="44" spans="1:12" ht="54" x14ac:dyDescent="0.15">
      <c r="A44" s="182"/>
      <c r="B44" s="149"/>
      <c r="C44" s="66" t="s">
        <v>34</v>
      </c>
      <c r="D44" s="67">
        <v>2</v>
      </c>
      <c r="E44" s="67">
        <v>2</v>
      </c>
      <c r="F44" s="68" t="s">
        <v>35</v>
      </c>
      <c r="G44" s="67"/>
      <c r="H44" s="67" t="s">
        <v>36</v>
      </c>
      <c r="I44" s="69">
        <v>6</v>
      </c>
      <c r="J44" s="67" t="s">
        <v>32</v>
      </c>
      <c r="K44" s="66" t="s">
        <v>37</v>
      </c>
      <c r="L44" s="182"/>
    </row>
    <row r="45" spans="1:12" ht="27" x14ac:dyDescent="0.15">
      <c r="A45" s="182"/>
      <c r="B45" s="150"/>
      <c r="C45" s="70" t="s">
        <v>38</v>
      </c>
      <c r="D45" s="71">
        <v>1</v>
      </c>
      <c r="E45" s="71">
        <v>4</v>
      </c>
      <c r="F45" s="72" t="s">
        <v>35</v>
      </c>
      <c r="G45" s="103"/>
      <c r="H45" s="71" t="s">
        <v>36</v>
      </c>
      <c r="I45" s="73">
        <v>9</v>
      </c>
      <c r="J45" s="62" t="s">
        <v>39</v>
      </c>
      <c r="K45" s="70" t="s">
        <v>40</v>
      </c>
      <c r="L45" s="182"/>
    </row>
    <row r="46" spans="1:12" ht="54" x14ac:dyDescent="0.15">
      <c r="A46" s="182"/>
      <c r="B46" s="148" t="s">
        <v>41</v>
      </c>
      <c r="C46" s="45" t="s">
        <v>42</v>
      </c>
      <c r="D46" s="48">
        <v>4</v>
      </c>
      <c r="E46" s="48">
        <v>1</v>
      </c>
      <c r="F46" s="47" t="s">
        <v>21</v>
      </c>
      <c r="G46" s="95" t="str">
        <f>IF(D4="kg",MROUND(F8*0.875,2.5)&amp;"-"&amp;MROUND(F8*0.9,2.5),MROUND(F8*0.875,5)&amp;"-"&amp;MROUND(F8*0.9,5))</f>
        <v>302.5-310</v>
      </c>
      <c r="H46" s="48" t="s">
        <v>43</v>
      </c>
      <c r="I46" s="46" t="s">
        <v>44</v>
      </c>
      <c r="J46" s="96" t="s">
        <v>24</v>
      </c>
      <c r="K46" s="45" t="s">
        <v>45</v>
      </c>
      <c r="L46" s="182"/>
    </row>
    <row r="47" spans="1:12" ht="54" x14ac:dyDescent="0.15">
      <c r="A47" s="182"/>
      <c r="B47" s="149"/>
      <c r="C47" s="75" t="s">
        <v>46</v>
      </c>
      <c r="D47" s="76">
        <v>0</v>
      </c>
      <c r="E47" s="76">
        <v>3</v>
      </c>
      <c r="F47" s="77" t="s">
        <v>47</v>
      </c>
      <c r="G47" s="76" t="str">
        <f>IF(D4="kg",MROUND(F8*0.825,2.5)&amp;"-"&amp;MROUND(F8*0.85,2.5),MROUND(F8*0.825,5)&amp;"-"&amp;MROUND(F8*0.85,5))</f>
        <v>285-292.5</v>
      </c>
      <c r="H47" s="76" t="s">
        <v>99</v>
      </c>
      <c r="I47" s="79">
        <v>44750</v>
      </c>
      <c r="J47" s="77" t="s">
        <v>24</v>
      </c>
      <c r="K47" s="65" t="s">
        <v>48</v>
      </c>
      <c r="L47" s="182"/>
    </row>
    <row r="48" spans="1:12" ht="27" x14ac:dyDescent="0.15">
      <c r="A48" s="182"/>
      <c r="B48" s="149"/>
      <c r="C48" s="75" t="s">
        <v>49</v>
      </c>
      <c r="D48" s="80">
        <v>1</v>
      </c>
      <c r="E48" s="80">
        <v>3</v>
      </c>
      <c r="F48" s="77" t="s">
        <v>50</v>
      </c>
      <c r="G48" s="76"/>
      <c r="H48" s="76" t="s">
        <v>36</v>
      </c>
      <c r="I48" s="80">
        <v>8</v>
      </c>
      <c r="J48" s="77" t="s">
        <v>39</v>
      </c>
      <c r="K48" s="65" t="s">
        <v>51</v>
      </c>
      <c r="L48" s="182"/>
    </row>
    <row r="49" spans="1:12" ht="54" x14ac:dyDescent="0.15">
      <c r="A49" s="182"/>
      <c r="B49" s="149"/>
      <c r="C49" s="75" t="s">
        <v>52</v>
      </c>
      <c r="D49" s="80">
        <v>1</v>
      </c>
      <c r="E49" s="80">
        <v>4</v>
      </c>
      <c r="F49" s="77" t="s">
        <v>53</v>
      </c>
      <c r="G49" s="76"/>
      <c r="H49" s="76" t="s">
        <v>36</v>
      </c>
      <c r="I49" s="80">
        <v>10</v>
      </c>
      <c r="J49" s="77" t="s">
        <v>39</v>
      </c>
      <c r="K49" s="65" t="s">
        <v>54</v>
      </c>
      <c r="L49" s="182"/>
    </row>
    <row r="50" spans="1:12" ht="27" x14ac:dyDescent="0.15">
      <c r="A50" s="182"/>
      <c r="B50" s="149"/>
      <c r="C50" s="81" t="s">
        <v>55</v>
      </c>
      <c r="D50" s="67">
        <v>0</v>
      </c>
      <c r="E50" s="67">
        <v>3</v>
      </c>
      <c r="F50" s="68" t="s">
        <v>56</v>
      </c>
      <c r="G50" s="82"/>
      <c r="H50" s="68" t="s">
        <v>36</v>
      </c>
      <c r="I50" s="67">
        <v>9</v>
      </c>
      <c r="J50" s="68" t="s">
        <v>39</v>
      </c>
      <c r="K50" s="65" t="s">
        <v>57</v>
      </c>
      <c r="L50" s="182"/>
    </row>
    <row r="51" spans="1:12" ht="27" x14ac:dyDescent="0.15">
      <c r="A51" s="182"/>
      <c r="B51" s="149"/>
      <c r="C51" s="75" t="s">
        <v>58</v>
      </c>
      <c r="D51" s="80">
        <v>1</v>
      </c>
      <c r="E51" s="80">
        <v>3</v>
      </c>
      <c r="F51" s="77" t="s">
        <v>50</v>
      </c>
      <c r="G51" s="80"/>
      <c r="H51" s="77" t="s">
        <v>36</v>
      </c>
      <c r="I51" s="77" t="s">
        <v>100</v>
      </c>
      <c r="J51" s="83" t="s">
        <v>39</v>
      </c>
      <c r="K51" s="65" t="s">
        <v>60</v>
      </c>
      <c r="L51" s="182"/>
    </row>
    <row r="52" spans="1:12" ht="54" x14ac:dyDescent="0.15">
      <c r="A52" s="182"/>
      <c r="B52" s="150"/>
      <c r="C52" s="84" t="s">
        <v>61</v>
      </c>
      <c r="D52" s="26">
        <v>0</v>
      </c>
      <c r="E52" s="26">
        <v>3</v>
      </c>
      <c r="F52" s="85" t="s">
        <v>53</v>
      </c>
      <c r="G52" s="86"/>
      <c r="H52" s="87" t="s">
        <v>36</v>
      </c>
      <c r="I52" s="26">
        <v>8</v>
      </c>
      <c r="J52" s="85" t="s">
        <v>39</v>
      </c>
      <c r="K52" s="12" t="s">
        <v>62</v>
      </c>
      <c r="L52" s="182"/>
    </row>
    <row r="53" spans="1:12" ht="54" x14ac:dyDescent="0.15">
      <c r="A53" s="182"/>
      <c r="B53" s="157" t="s">
        <v>63</v>
      </c>
      <c r="C53" s="108" t="s">
        <v>101</v>
      </c>
      <c r="D53" s="109">
        <v>3</v>
      </c>
      <c r="E53" s="109">
        <v>3</v>
      </c>
      <c r="F53" s="110" t="s">
        <v>31</v>
      </c>
      <c r="G53" s="111"/>
      <c r="H53" s="109" t="s">
        <v>36</v>
      </c>
      <c r="I53" s="109">
        <v>6</v>
      </c>
      <c r="J53" s="110" t="s">
        <v>65</v>
      </c>
      <c r="K53" s="66" t="s">
        <v>102</v>
      </c>
      <c r="L53" s="182"/>
    </row>
    <row r="54" spans="1:12" ht="54" x14ac:dyDescent="0.15">
      <c r="A54" s="182"/>
      <c r="B54" s="149"/>
      <c r="C54" s="75" t="s">
        <v>103</v>
      </c>
      <c r="D54" s="80">
        <v>3</v>
      </c>
      <c r="E54" s="80">
        <v>3</v>
      </c>
      <c r="F54" s="77" t="s">
        <v>31</v>
      </c>
      <c r="G54" s="92" t="str">
        <f>IF(D4="kg",MROUND(F8*0.7,2.5)&amp;"-"&amp;MROUND(F8*0.75,2.5),MROUND(F8*0.7,5)&amp;"-"&amp;MROUND(F8*0.75,5))</f>
        <v>242.5-260</v>
      </c>
      <c r="H54" s="76" t="s">
        <v>104</v>
      </c>
      <c r="I54" s="80">
        <v>6</v>
      </c>
      <c r="J54" s="77" t="s">
        <v>65</v>
      </c>
      <c r="K54" s="65" t="s">
        <v>105</v>
      </c>
      <c r="L54" s="182"/>
    </row>
    <row r="55" spans="1:12" ht="27" x14ac:dyDescent="0.15">
      <c r="A55" s="182"/>
      <c r="B55" s="149"/>
      <c r="C55" s="81" t="s">
        <v>69</v>
      </c>
      <c r="D55" s="67">
        <v>1</v>
      </c>
      <c r="E55" s="67">
        <v>4</v>
      </c>
      <c r="F55" s="68" t="s">
        <v>53</v>
      </c>
      <c r="G55" s="112"/>
      <c r="H55" s="67" t="s">
        <v>36</v>
      </c>
      <c r="I55" s="69">
        <v>9</v>
      </c>
      <c r="J55" s="67" t="s">
        <v>32</v>
      </c>
      <c r="K55" s="66" t="s">
        <v>70</v>
      </c>
      <c r="L55" s="182"/>
    </row>
    <row r="56" spans="1:12" ht="27" x14ac:dyDescent="0.15">
      <c r="A56" s="182"/>
      <c r="B56" s="150"/>
      <c r="C56" s="75" t="s">
        <v>71</v>
      </c>
      <c r="D56" s="80">
        <v>1</v>
      </c>
      <c r="E56" s="80">
        <v>3</v>
      </c>
      <c r="F56" s="77" t="s">
        <v>35</v>
      </c>
      <c r="G56" s="92"/>
      <c r="H56" s="76" t="s">
        <v>36</v>
      </c>
      <c r="I56" s="80">
        <v>10</v>
      </c>
      <c r="J56" s="77" t="s">
        <v>39</v>
      </c>
      <c r="K56" s="65" t="s">
        <v>72</v>
      </c>
      <c r="L56" s="182"/>
    </row>
    <row r="57" spans="1:12" ht="26.25" customHeight="1" x14ac:dyDescent="0.15">
      <c r="A57" s="182"/>
      <c r="B57" s="158" t="s">
        <v>73</v>
      </c>
      <c r="C57" s="159"/>
      <c r="D57" s="159"/>
      <c r="E57" s="159"/>
      <c r="F57" s="159"/>
      <c r="G57" s="159"/>
      <c r="H57" s="159"/>
      <c r="I57" s="159"/>
      <c r="J57" s="159"/>
      <c r="K57" s="160"/>
      <c r="L57" s="182"/>
    </row>
    <row r="58" spans="1:12" ht="27" x14ac:dyDescent="0.15">
      <c r="A58" s="182"/>
      <c r="B58" s="148" t="s">
        <v>74</v>
      </c>
      <c r="C58" s="94" t="s">
        <v>75</v>
      </c>
      <c r="D58" s="95">
        <v>4</v>
      </c>
      <c r="E58" s="95">
        <v>1</v>
      </c>
      <c r="F58" s="96" t="s">
        <v>106</v>
      </c>
      <c r="G58" s="95">
        <f>IF(D4="kg",MROUND(G8*0.9,2.5),MROUND(G8*0.9,5))</f>
        <v>450</v>
      </c>
      <c r="H58" s="97">
        <v>0.9</v>
      </c>
      <c r="I58" s="98">
        <v>44782</v>
      </c>
      <c r="J58" s="96" t="s">
        <v>24</v>
      </c>
      <c r="K58" s="99" t="s">
        <v>77</v>
      </c>
      <c r="L58" s="182"/>
    </row>
    <row r="59" spans="1:12" ht="54" x14ac:dyDescent="0.15">
      <c r="A59" s="182"/>
      <c r="B59" s="149"/>
      <c r="C59" s="75" t="s">
        <v>107</v>
      </c>
      <c r="D59" s="80">
        <v>0</v>
      </c>
      <c r="E59" s="80">
        <v>2</v>
      </c>
      <c r="F59" s="77" t="s">
        <v>31</v>
      </c>
      <c r="G59" s="76" t="str">
        <f>IF(D4="kg",MROUND(G8*0.65,2.5)&amp;"-"&amp;MROUND(G8*0.7,2.5),MROUND(G8*0.65,5)&amp;"-"&amp;MROUND(G8*0.7,5))</f>
        <v>325-350</v>
      </c>
      <c r="H59" s="76" t="s">
        <v>108</v>
      </c>
      <c r="I59" s="80">
        <v>7</v>
      </c>
      <c r="J59" s="77" t="s">
        <v>65</v>
      </c>
      <c r="K59" s="65" t="s">
        <v>109</v>
      </c>
      <c r="L59" s="182"/>
    </row>
    <row r="60" spans="1:12" ht="54" x14ac:dyDescent="0.15">
      <c r="A60" s="182"/>
      <c r="B60" s="149"/>
      <c r="C60" s="75" t="s">
        <v>80</v>
      </c>
      <c r="D60" s="80">
        <v>0</v>
      </c>
      <c r="E60" s="80">
        <v>4</v>
      </c>
      <c r="F60" s="77" t="s">
        <v>56</v>
      </c>
      <c r="G60" s="76"/>
      <c r="H60" s="76" t="s">
        <v>36</v>
      </c>
      <c r="I60" s="80">
        <v>9</v>
      </c>
      <c r="J60" s="77" t="s">
        <v>39</v>
      </c>
      <c r="K60" s="65" t="s">
        <v>81</v>
      </c>
      <c r="L60" s="182"/>
    </row>
    <row r="61" spans="1:12" ht="27" x14ac:dyDescent="0.15">
      <c r="A61" s="182"/>
      <c r="B61" s="149"/>
      <c r="C61" s="81" t="s">
        <v>82</v>
      </c>
      <c r="D61" s="67">
        <v>1</v>
      </c>
      <c r="E61" s="67">
        <v>4</v>
      </c>
      <c r="F61" s="68" t="s">
        <v>56</v>
      </c>
      <c r="G61" s="82"/>
      <c r="H61" s="68" t="s">
        <v>36</v>
      </c>
      <c r="I61" s="67">
        <v>9</v>
      </c>
      <c r="J61" s="68" t="s">
        <v>39</v>
      </c>
      <c r="K61" s="65" t="s">
        <v>83</v>
      </c>
      <c r="L61" s="182"/>
    </row>
    <row r="62" spans="1:12" ht="54" x14ac:dyDescent="0.15">
      <c r="A62" s="182"/>
      <c r="B62" s="149"/>
      <c r="C62" s="81" t="s">
        <v>84</v>
      </c>
      <c r="D62" s="80">
        <v>1</v>
      </c>
      <c r="E62" s="80">
        <v>3</v>
      </c>
      <c r="F62" s="77" t="s">
        <v>56</v>
      </c>
      <c r="G62" s="80"/>
      <c r="H62" s="77" t="s">
        <v>36</v>
      </c>
      <c r="I62" s="77" t="s">
        <v>85</v>
      </c>
      <c r="J62" s="83" t="s">
        <v>39</v>
      </c>
      <c r="K62" s="65" t="s">
        <v>86</v>
      </c>
      <c r="L62" s="182"/>
    </row>
    <row r="63" spans="1:12" ht="27" x14ac:dyDescent="0.15">
      <c r="A63" s="182"/>
      <c r="B63" s="150"/>
      <c r="C63" s="84" t="s">
        <v>87</v>
      </c>
      <c r="D63" s="26">
        <v>1</v>
      </c>
      <c r="E63" s="26">
        <v>4</v>
      </c>
      <c r="F63" s="85" t="s">
        <v>35</v>
      </c>
      <c r="G63" s="86"/>
      <c r="H63" s="87" t="s">
        <v>36</v>
      </c>
      <c r="I63" s="26">
        <v>9</v>
      </c>
      <c r="J63" s="85" t="s">
        <v>39</v>
      </c>
      <c r="K63" s="12" t="s">
        <v>88</v>
      </c>
      <c r="L63" s="182"/>
    </row>
    <row r="64" spans="1:12" ht="27" x14ac:dyDescent="0.15">
      <c r="A64" s="182"/>
      <c r="B64" s="148" t="s">
        <v>89</v>
      </c>
      <c r="C64" s="102" t="s">
        <v>26</v>
      </c>
      <c r="D64" s="103">
        <v>4</v>
      </c>
      <c r="E64" s="63">
        <v>3</v>
      </c>
      <c r="F64" s="62" t="s">
        <v>90</v>
      </c>
      <c r="G64" s="63">
        <f>IF(D4="kg",MROUND(E8*0.725,2.5),MROUND(E8*0.725,5))</f>
        <v>292.5</v>
      </c>
      <c r="H64" s="62" t="s">
        <v>92</v>
      </c>
      <c r="I64" s="104">
        <v>44750</v>
      </c>
      <c r="J64" s="62" t="s">
        <v>24</v>
      </c>
      <c r="K64" s="60" t="s">
        <v>29</v>
      </c>
      <c r="L64" s="182"/>
    </row>
    <row r="65" spans="1:12" ht="54" x14ac:dyDescent="0.15">
      <c r="A65" s="182"/>
      <c r="B65" s="149"/>
      <c r="C65" s="60" t="s">
        <v>46</v>
      </c>
      <c r="D65" s="63">
        <v>4</v>
      </c>
      <c r="E65" s="63">
        <v>3</v>
      </c>
      <c r="F65" s="62" t="s">
        <v>90</v>
      </c>
      <c r="G65" s="63">
        <f>IF(D4="kg",MROUND(F8*0.75,2.5),MROUND(F8*0.75,5))</f>
        <v>260</v>
      </c>
      <c r="H65" s="62" t="s">
        <v>110</v>
      </c>
      <c r="I65" s="104">
        <v>44750</v>
      </c>
      <c r="J65" s="62" t="s">
        <v>24</v>
      </c>
      <c r="K65" s="60" t="s">
        <v>48</v>
      </c>
      <c r="L65" s="182"/>
    </row>
    <row r="66" spans="1:12" ht="27" x14ac:dyDescent="0.15">
      <c r="A66" s="182"/>
      <c r="B66" s="149"/>
      <c r="C66" s="66" t="s">
        <v>93</v>
      </c>
      <c r="D66" s="69">
        <v>1</v>
      </c>
      <c r="E66" s="69">
        <v>3</v>
      </c>
      <c r="F66" s="68" t="s">
        <v>50</v>
      </c>
      <c r="G66" s="69"/>
      <c r="H66" s="68" t="s">
        <v>36</v>
      </c>
      <c r="I66" s="69">
        <v>8</v>
      </c>
      <c r="J66" s="68" t="s">
        <v>32</v>
      </c>
      <c r="K66" s="65" t="s">
        <v>94</v>
      </c>
      <c r="L66" s="182"/>
    </row>
    <row r="67" spans="1:12" ht="54" x14ac:dyDescent="0.15">
      <c r="A67" s="182"/>
      <c r="B67" s="150"/>
      <c r="C67" s="66" t="s">
        <v>95</v>
      </c>
      <c r="D67" s="76">
        <v>0</v>
      </c>
      <c r="E67" s="76">
        <v>3</v>
      </c>
      <c r="F67" s="77" t="s">
        <v>96</v>
      </c>
      <c r="G67" s="76"/>
      <c r="H67" s="77" t="s">
        <v>36</v>
      </c>
      <c r="I67" s="76">
        <v>8</v>
      </c>
      <c r="J67" s="77" t="s">
        <v>39</v>
      </c>
      <c r="K67" s="66" t="s">
        <v>97</v>
      </c>
      <c r="L67" s="182"/>
    </row>
    <row r="68" spans="1:12" ht="26.25" customHeight="1" x14ac:dyDescent="0.15">
      <c r="A68" s="182"/>
      <c r="B68" s="158" t="s">
        <v>73</v>
      </c>
      <c r="C68" s="159"/>
      <c r="D68" s="159"/>
      <c r="E68" s="159"/>
      <c r="F68" s="159"/>
      <c r="G68" s="159"/>
      <c r="H68" s="159"/>
      <c r="I68" s="159"/>
      <c r="J68" s="159"/>
      <c r="K68" s="160"/>
      <c r="L68" s="182"/>
    </row>
    <row r="69" spans="1:12" ht="22" x14ac:dyDescent="0.15">
      <c r="A69" s="182"/>
      <c r="B69" s="33" t="s">
        <v>111</v>
      </c>
      <c r="C69" s="33" t="s">
        <v>10</v>
      </c>
      <c r="D69" s="33" t="s">
        <v>11</v>
      </c>
      <c r="E69" s="33" t="s">
        <v>12</v>
      </c>
      <c r="F69" s="34" t="s">
        <v>13</v>
      </c>
      <c r="G69" s="33" t="s">
        <v>14</v>
      </c>
      <c r="H69" s="34" t="s">
        <v>15</v>
      </c>
      <c r="I69" s="34" t="s">
        <v>16</v>
      </c>
      <c r="J69" s="34" t="s">
        <v>17</v>
      </c>
      <c r="K69" s="35" t="s">
        <v>18</v>
      </c>
      <c r="L69" s="182"/>
    </row>
    <row r="70" spans="1:12" ht="27" x14ac:dyDescent="0.15">
      <c r="A70" s="182"/>
      <c r="B70" s="148" t="s">
        <v>19</v>
      </c>
      <c r="C70" s="45" t="s">
        <v>20</v>
      </c>
      <c r="D70" s="46">
        <v>4</v>
      </c>
      <c r="E70" s="46">
        <v>1</v>
      </c>
      <c r="F70" s="47" t="s">
        <v>21</v>
      </c>
      <c r="G70" s="105" t="str">
        <f>IF(D4="kg",MROUND(E8*0.875,2.5)&amp;"-"&amp;MROUND(E8*0.9,2.5),MROUND(E8*0.875,5)&amp;"-"&amp;MROUND(E8*0.9,5))</f>
        <v>355-365</v>
      </c>
      <c r="H70" s="48" t="s">
        <v>43</v>
      </c>
      <c r="I70" s="105" t="s">
        <v>112</v>
      </c>
      <c r="J70" s="106" t="s">
        <v>24</v>
      </c>
      <c r="K70" s="45" t="s">
        <v>25</v>
      </c>
      <c r="L70" s="182"/>
    </row>
    <row r="71" spans="1:12" ht="27" x14ac:dyDescent="0.15">
      <c r="A71" s="182"/>
      <c r="B71" s="149"/>
      <c r="C71" s="66" t="s">
        <v>26</v>
      </c>
      <c r="D71" s="67">
        <v>0</v>
      </c>
      <c r="E71" s="67">
        <v>2</v>
      </c>
      <c r="F71" s="68" t="s">
        <v>76</v>
      </c>
      <c r="G71" s="69" t="str">
        <f>IF(D4="kg",MROUND(E8*0.775,2.5)&amp;"-"&amp;MROUND(E8*0.8,2.5),MROUND(E8*0.775,5)&amp;"-"&amp;MROUND(E8*0.8,5))</f>
        <v>315-325</v>
      </c>
      <c r="H71" s="69" t="s">
        <v>113</v>
      </c>
      <c r="I71" s="107">
        <v>44750</v>
      </c>
      <c r="J71" s="68" t="s">
        <v>24</v>
      </c>
      <c r="K71" s="66" t="s">
        <v>29</v>
      </c>
      <c r="L71" s="182"/>
    </row>
    <row r="72" spans="1:12" ht="54" x14ac:dyDescent="0.15">
      <c r="A72" s="182"/>
      <c r="B72" s="149"/>
      <c r="C72" s="65" t="s">
        <v>30</v>
      </c>
      <c r="D72" s="80">
        <v>3</v>
      </c>
      <c r="E72" s="80">
        <v>2</v>
      </c>
      <c r="F72" s="77" t="s">
        <v>31</v>
      </c>
      <c r="G72" s="76">
        <f>IF(D4="kg",MROUND(H8*0.7,2.5),MROUND(H8*0.7,5))</f>
        <v>157.5</v>
      </c>
      <c r="H72" s="113">
        <v>0.7</v>
      </c>
      <c r="I72" s="80">
        <v>6</v>
      </c>
      <c r="J72" s="77" t="s">
        <v>32</v>
      </c>
      <c r="K72" s="65" t="s">
        <v>33</v>
      </c>
      <c r="L72" s="182"/>
    </row>
    <row r="73" spans="1:12" ht="54" x14ac:dyDescent="0.15">
      <c r="A73" s="182"/>
      <c r="B73" s="149"/>
      <c r="C73" s="66" t="s">
        <v>34</v>
      </c>
      <c r="D73" s="67">
        <v>2</v>
      </c>
      <c r="E73" s="67">
        <v>2</v>
      </c>
      <c r="F73" s="68" t="s">
        <v>35</v>
      </c>
      <c r="G73" s="67"/>
      <c r="H73" s="67" t="s">
        <v>36</v>
      </c>
      <c r="I73" s="69">
        <v>6</v>
      </c>
      <c r="J73" s="67" t="s">
        <v>32</v>
      </c>
      <c r="K73" s="66" t="s">
        <v>37</v>
      </c>
      <c r="L73" s="182"/>
    </row>
    <row r="74" spans="1:12" ht="27" x14ac:dyDescent="0.15">
      <c r="A74" s="182"/>
      <c r="B74" s="150"/>
      <c r="C74" s="70" t="s">
        <v>38</v>
      </c>
      <c r="D74" s="114">
        <v>1</v>
      </c>
      <c r="E74" s="114">
        <v>4</v>
      </c>
      <c r="F74" s="72" t="s">
        <v>35</v>
      </c>
      <c r="G74" s="76"/>
      <c r="H74" s="114" t="s">
        <v>36</v>
      </c>
      <c r="I74" s="20">
        <v>9</v>
      </c>
      <c r="J74" s="77" t="s">
        <v>39</v>
      </c>
      <c r="K74" s="70" t="s">
        <v>40</v>
      </c>
      <c r="L74" s="182"/>
    </row>
    <row r="75" spans="1:12" ht="54" x14ac:dyDescent="0.15">
      <c r="A75" s="182"/>
      <c r="B75" s="148" t="s">
        <v>41</v>
      </c>
      <c r="C75" s="45" t="s">
        <v>42</v>
      </c>
      <c r="D75" s="48">
        <v>4</v>
      </c>
      <c r="E75" s="48">
        <v>1</v>
      </c>
      <c r="F75" s="96" t="s">
        <v>21</v>
      </c>
      <c r="G75" s="95" t="str">
        <f>IF(D4="kg",MROUND(F8*0.9,2.5)&amp;"-"&amp;MROUND(F8*0.925,2.5),MROUND(F8*0.9,5)&amp;"-"&amp;MROUND(F8*0.925,5))</f>
        <v>310-320</v>
      </c>
      <c r="H75" s="48" t="s">
        <v>114</v>
      </c>
      <c r="I75" s="46" t="s">
        <v>112</v>
      </c>
      <c r="J75" s="96" t="s">
        <v>24</v>
      </c>
      <c r="K75" s="45" t="s">
        <v>45</v>
      </c>
      <c r="L75" s="182"/>
    </row>
    <row r="76" spans="1:12" ht="54" x14ac:dyDescent="0.15">
      <c r="A76" s="182"/>
      <c r="B76" s="149"/>
      <c r="C76" s="75" t="s">
        <v>46</v>
      </c>
      <c r="D76" s="76">
        <v>0</v>
      </c>
      <c r="E76" s="76">
        <v>3</v>
      </c>
      <c r="F76" s="14" t="s">
        <v>106</v>
      </c>
      <c r="G76" s="76" t="str">
        <f>IF(D4="kg",MROUND(F8*0.85,2.5)&amp;"-"&amp;MROUND(F8*0.875,2.5),MROUND(F8*0.85,5)&amp;"-"&amp;MROUND(F8*0.875,5))</f>
        <v>292.5-302.5</v>
      </c>
      <c r="H76" s="76" t="s">
        <v>22</v>
      </c>
      <c r="I76" s="79">
        <v>44750</v>
      </c>
      <c r="J76" s="77" t="s">
        <v>24</v>
      </c>
      <c r="K76" s="65" t="s">
        <v>48</v>
      </c>
      <c r="L76" s="182"/>
    </row>
    <row r="77" spans="1:12" ht="27" x14ac:dyDescent="0.15">
      <c r="A77" s="182"/>
      <c r="B77" s="149"/>
      <c r="C77" s="75" t="s">
        <v>49</v>
      </c>
      <c r="D77" s="80">
        <v>1</v>
      </c>
      <c r="E77" s="80">
        <v>3</v>
      </c>
      <c r="F77" s="77" t="s">
        <v>50</v>
      </c>
      <c r="G77" s="76"/>
      <c r="H77" s="76" t="s">
        <v>36</v>
      </c>
      <c r="I77" s="80">
        <v>8</v>
      </c>
      <c r="J77" s="77" t="s">
        <v>39</v>
      </c>
      <c r="K77" s="65" t="s">
        <v>51</v>
      </c>
      <c r="L77" s="182"/>
    </row>
    <row r="78" spans="1:12" ht="54" x14ac:dyDescent="0.15">
      <c r="A78" s="182"/>
      <c r="B78" s="149"/>
      <c r="C78" s="75" t="s">
        <v>52</v>
      </c>
      <c r="D78" s="80">
        <v>1</v>
      </c>
      <c r="E78" s="80">
        <v>4</v>
      </c>
      <c r="F78" s="77" t="s">
        <v>53</v>
      </c>
      <c r="G78" s="76"/>
      <c r="H78" s="76" t="s">
        <v>36</v>
      </c>
      <c r="I78" s="80">
        <v>10</v>
      </c>
      <c r="J78" s="77" t="s">
        <v>39</v>
      </c>
      <c r="K78" s="65" t="s">
        <v>54</v>
      </c>
      <c r="L78" s="182"/>
    </row>
    <row r="79" spans="1:12" ht="27" x14ac:dyDescent="0.15">
      <c r="A79" s="182"/>
      <c r="B79" s="149"/>
      <c r="C79" s="81" t="s">
        <v>55</v>
      </c>
      <c r="D79" s="67">
        <v>0</v>
      </c>
      <c r="E79" s="67">
        <v>3</v>
      </c>
      <c r="F79" s="68" t="s">
        <v>56</v>
      </c>
      <c r="G79" s="82"/>
      <c r="H79" s="68" t="s">
        <v>36</v>
      </c>
      <c r="I79" s="67">
        <v>9</v>
      </c>
      <c r="J79" s="68" t="s">
        <v>39</v>
      </c>
      <c r="K79" s="65" t="s">
        <v>57</v>
      </c>
      <c r="L79" s="182"/>
    </row>
    <row r="80" spans="1:12" ht="27" x14ac:dyDescent="0.15">
      <c r="A80" s="182"/>
      <c r="B80" s="149"/>
      <c r="C80" s="75" t="s">
        <v>58</v>
      </c>
      <c r="D80" s="80">
        <v>1</v>
      </c>
      <c r="E80" s="80">
        <v>3</v>
      </c>
      <c r="F80" s="77" t="s">
        <v>50</v>
      </c>
      <c r="G80" s="80"/>
      <c r="H80" s="77" t="s">
        <v>36</v>
      </c>
      <c r="I80" s="77" t="s">
        <v>100</v>
      </c>
      <c r="J80" s="83" t="s">
        <v>39</v>
      </c>
      <c r="K80" s="66" t="s">
        <v>60</v>
      </c>
      <c r="L80" s="182"/>
    </row>
    <row r="81" spans="1:12" ht="54" x14ac:dyDescent="0.15">
      <c r="A81" s="182"/>
      <c r="B81" s="150"/>
      <c r="C81" s="84" t="s">
        <v>61</v>
      </c>
      <c r="D81" s="26">
        <v>0</v>
      </c>
      <c r="E81" s="26">
        <v>3</v>
      </c>
      <c r="F81" s="85" t="s">
        <v>53</v>
      </c>
      <c r="G81" s="86"/>
      <c r="H81" s="87" t="s">
        <v>36</v>
      </c>
      <c r="I81" s="26">
        <v>8</v>
      </c>
      <c r="J81" s="85" t="s">
        <v>39</v>
      </c>
      <c r="K81" s="12" t="s">
        <v>62</v>
      </c>
      <c r="L81" s="182"/>
    </row>
    <row r="82" spans="1:12" ht="54" x14ac:dyDescent="0.15">
      <c r="A82" s="182"/>
      <c r="B82" s="157" t="s">
        <v>63</v>
      </c>
      <c r="C82" s="88" t="s">
        <v>64</v>
      </c>
      <c r="D82" s="89">
        <v>3</v>
      </c>
      <c r="E82" s="89">
        <v>3</v>
      </c>
      <c r="F82" s="90" t="s">
        <v>31</v>
      </c>
      <c r="G82" s="91"/>
      <c r="H82" s="89" t="s">
        <v>36</v>
      </c>
      <c r="I82" s="89">
        <v>6</v>
      </c>
      <c r="J82" s="90" t="s">
        <v>65</v>
      </c>
      <c r="K82" s="65" t="s">
        <v>66</v>
      </c>
      <c r="L82" s="182"/>
    </row>
    <row r="83" spans="1:12" ht="27" x14ac:dyDescent="0.15">
      <c r="A83" s="182"/>
      <c r="B83" s="149"/>
      <c r="C83" s="75" t="s">
        <v>67</v>
      </c>
      <c r="D83" s="80">
        <v>3</v>
      </c>
      <c r="E83" s="80">
        <v>3</v>
      </c>
      <c r="F83" s="77" t="s">
        <v>31</v>
      </c>
      <c r="G83" s="92"/>
      <c r="H83" s="76" t="s">
        <v>36</v>
      </c>
      <c r="I83" s="80">
        <v>6</v>
      </c>
      <c r="J83" s="77" t="s">
        <v>65</v>
      </c>
      <c r="K83" s="65" t="s">
        <v>68</v>
      </c>
      <c r="L83" s="182"/>
    </row>
    <row r="84" spans="1:12" ht="27" x14ac:dyDescent="0.15">
      <c r="A84" s="182"/>
      <c r="B84" s="149"/>
      <c r="C84" s="75" t="s">
        <v>69</v>
      </c>
      <c r="D84" s="80">
        <v>1</v>
      </c>
      <c r="E84" s="80">
        <v>4</v>
      </c>
      <c r="F84" s="77" t="s">
        <v>53</v>
      </c>
      <c r="G84" s="93"/>
      <c r="H84" s="80" t="s">
        <v>36</v>
      </c>
      <c r="I84" s="76">
        <v>9</v>
      </c>
      <c r="J84" s="80" t="s">
        <v>32</v>
      </c>
      <c r="K84" s="65" t="s">
        <v>70</v>
      </c>
      <c r="L84" s="182"/>
    </row>
    <row r="85" spans="1:12" ht="27" x14ac:dyDescent="0.15">
      <c r="A85" s="182"/>
      <c r="B85" s="150"/>
      <c r="C85" s="75" t="s">
        <v>71</v>
      </c>
      <c r="D85" s="80">
        <v>1</v>
      </c>
      <c r="E85" s="80">
        <v>3</v>
      </c>
      <c r="F85" s="77" t="s">
        <v>35</v>
      </c>
      <c r="G85" s="92"/>
      <c r="H85" s="76" t="s">
        <v>36</v>
      </c>
      <c r="I85" s="80">
        <v>10</v>
      </c>
      <c r="J85" s="77" t="s">
        <v>39</v>
      </c>
      <c r="K85" s="66" t="s">
        <v>72</v>
      </c>
      <c r="L85" s="182"/>
    </row>
    <row r="86" spans="1:12" ht="26.25" customHeight="1" x14ac:dyDescent="0.15">
      <c r="A86" s="182"/>
      <c r="B86" s="158" t="s">
        <v>73</v>
      </c>
      <c r="C86" s="159"/>
      <c r="D86" s="159"/>
      <c r="E86" s="159"/>
      <c r="F86" s="159"/>
      <c r="G86" s="159"/>
      <c r="H86" s="159"/>
      <c r="I86" s="159"/>
      <c r="J86" s="159"/>
      <c r="K86" s="160"/>
      <c r="L86" s="182"/>
    </row>
    <row r="87" spans="1:12" ht="27" x14ac:dyDescent="0.15">
      <c r="A87" s="182"/>
      <c r="B87" s="148" t="s">
        <v>74</v>
      </c>
      <c r="C87" s="94" t="s">
        <v>75</v>
      </c>
      <c r="D87" s="95">
        <v>4</v>
      </c>
      <c r="E87" s="95">
        <v>1</v>
      </c>
      <c r="F87" s="96" t="s">
        <v>115</v>
      </c>
      <c r="G87" s="95">
        <f>IF(D4="kg",MROUND(G8*0.9,2.5),MROUND(G8*0.9,5))</f>
        <v>450</v>
      </c>
      <c r="H87" s="97">
        <v>0.9</v>
      </c>
      <c r="I87" s="98">
        <v>44782</v>
      </c>
      <c r="J87" s="96" t="s">
        <v>24</v>
      </c>
      <c r="K87" s="99" t="s">
        <v>77</v>
      </c>
      <c r="L87" s="182"/>
    </row>
    <row r="88" spans="1:12" ht="27" x14ac:dyDescent="0.15">
      <c r="A88" s="182"/>
      <c r="B88" s="149"/>
      <c r="C88" s="75" t="s">
        <v>78</v>
      </c>
      <c r="D88" s="80">
        <v>0</v>
      </c>
      <c r="E88" s="80">
        <v>2</v>
      </c>
      <c r="F88" s="77" t="s">
        <v>76</v>
      </c>
      <c r="G88" s="76">
        <f>IF(D4="kg",MROUND(G8*0.7,2.5),MROUND(G8*0.7,5))</f>
        <v>350</v>
      </c>
      <c r="H88" s="113">
        <v>0.7</v>
      </c>
      <c r="I88" s="80">
        <v>7</v>
      </c>
      <c r="J88" s="77" t="s">
        <v>65</v>
      </c>
      <c r="K88" s="65" t="s">
        <v>79</v>
      </c>
      <c r="L88" s="182"/>
    </row>
    <row r="89" spans="1:12" ht="54" x14ac:dyDescent="0.15">
      <c r="A89" s="182"/>
      <c r="B89" s="149"/>
      <c r="C89" s="81" t="s">
        <v>80</v>
      </c>
      <c r="D89" s="67">
        <v>0</v>
      </c>
      <c r="E89" s="67">
        <v>4</v>
      </c>
      <c r="F89" s="68" t="s">
        <v>56</v>
      </c>
      <c r="G89" s="69"/>
      <c r="H89" s="69" t="s">
        <v>36</v>
      </c>
      <c r="I89" s="67">
        <v>9</v>
      </c>
      <c r="J89" s="68" t="s">
        <v>39</v>
      </c>
      <c r="K89" s="66" t="s">
        <v>81</v>
      </c>
      <c r="L89" s="182"/>
    </row>
    <row r="90" spans="1:12" ht="27" x14ac:dyDescent="0.15">
      <c r="A90" s="182"/>
      <c r="B90" s="149"/>
      <c r="C90" s="75" t="s">
        <v>82</v>
      </c>
      <c r="D90" s="80">
        <v>1</v>
      </c>
      <c r="E90" s="80">
        <v>4</v>
      </c>
      <c r="F90" s="77" t="s">
        <v>56</v>
      </c>
      <c r="G90" s="92"/>
      <c r="H90" s="77" t="s">
        <v>36</v>
      </c>
      <c r="I90" s="80">
        <v>9</v>
      </c>
      <c r="J90" s="77" t="s">
        <v>39</v>
      </c>
      <c r="K90" s="65" t="s">
        <v>83</v>
      </c>
      <c r="L90" s="182"/>
    </row>
    <row r="91" spans="1:12" ht="54" x14ac:dyDescent="0.15">
      <c r="A91" s="182"/>
      <c r="B91" s="149"/>
      <c r="C91" s="81" t="s">
        <v>84</v>
      </c>
      <c r="D91" s="67">
        <v>1</v>
      </c>
      <c r="E91" s="67">
        <v>3</v>
      </c>
      <c r="F91" s="68" t="s">
        <v>56</v>
      </c>
      <c r="G91" s="67"/>
      <c r="H91" s="68" t="s">
        <v>36</v>
      </c>
      <c r="I91" s="68" t="s">
        <v>85</v>
      </c>
      <c r="J91" s="115" t="s">
        <v>39</v>
      </c>
      <c r="K91" s="66" t="s">
        <v>86</v>
      </c>
      <c r="L91" s="182"/>
    </row>
    <row r="92" spans="1:12" ht="27" x14ac:dyDescent="0.15">
      <c r="A92" s="182"/>
      <c r="B92" s="150"/>
      <c r="C92" s="116" t="s">
        <v>87</v>
      </c>
      <c r="D92" s="20">
        <v>1</v>
      </c>
      <c r="E92" s="20">
        <v>4</v>
      </c>
      <c r="F92" s="117" t="s">
        <v>35</v>
      </c>
      <c r="G92" s="29"/>
      <c r="H92" s="114" t="s">
        <v>36</v>
      </c>
      <c r="I92" s="20">
        <v>9</v>
      </c>
      <c r="J92" s="117" t="s">
        <v>39</v>
      </c>
      <c r="K92" s="12" t="s">
        <v>88</v>
      </c>
      <c r="L92" s="182"/>
    </row>
    <row r="93" spans="1:12" ht="27" x14ac:dyDescent="0.15">
      <c r="A93" s="182"/>
      <c r="B93" s="148" t="s">
        <v>89</v>
      </c>
      <c r="C93" s="66" t="s">
        <v>26</v>
      </c>
      <c r="D93" s="69">
        <v>4</v>
      </c>
      <c r="E93" s="69">
        <v>2</v>
      </c>
      <c r="F93" s="68" t="s">
        <v>90</v>
      </c>
      <c r="G93" s="69">
        <f>IF(D4="kg",MROUND(E8*0.75,2.5),MROUND(E8*0.75,5))</f>
        <v>305</v>
      </c>
      <c r="H93" s="68" t="s">
        <v>110</v>
      </c>
      <c r="I93" s="107">
        <v>44750</v>
      </c>
      <c r="J93" s="68" t="s">
        <v>24</v>
      </c>
      <c r="K93" s="66" t="s">
        <v>29</v>
      </c>
      <c r="L93" s="182"/>
    </row>
    <row r="94" spans="1:12" ht="54" x14ac:dyDescent="0.15">
      <c r="A94" s="182"/>
      <c r="B94" s="149"/>
      <c r="C94" s="65" t="s">
        <v>46</v>
      </c>
      <c r="D94" s="76">
        <v>4</v>
      </c>
      <c r="E94" s="76">
        <v>3</v>
      </c>
      <c r="F94" s="77" t="s">
        <v>90</v>
      </c>
      <c r="G94" s="76">
        <f>IF(D4="kg",MROUND(F8*0.775,2.5),MROUND(F8*0.775,5))</f>
        <v>267.5</v>
      </c>
      <c r="H94" s="77" t="s">
        <v>116</v>
      </c>
      <c r="I94" s="79">
        <v>44750</v>
      </c>
      <c r="J94" s="77" t="s">
        <v>24</v>
      </c>
      <c r="K94" s="65" t="s">
        <v>48</v>
      </c>
      <c r="L94" s="182"/>
    </row>
    <row r="95" spans="1:12" ht="27" x14ac:dyDescent="0.15">
      <c r="A95" s="182"/>
      <c r="B95" s="149"/>
      <c r="C95" s="66" t="s">
        <v>93</v>
      </c>
      <c r="D95" s="69">
        <v>1</v>
      </c>
      <c r="E95" s="69">
        <v>3</v>
      </c>
      <c r="F95" s="68" t="s">
        <v>50</v>
      </c>
      <c r="G95" s="69"/>
      <c r="H95" s="68" t="s">
        <v>36</v>
      </c>
      <c r="I95" s="69">
        <v>8</v>
      </c>
      <c r="J95" s="68" t="s">
        <v>39</v>
      </c>
      <c r="K95" s="66" t="s">
        <v>94</v>
      </c>
      <c r="L95" s="182"/>
    </row>
    <row r="96" spans="1:12" ht="54" x14ac:dyDescent="0.15">
      <c r="A96" s="182"/>
      <c r="B96" s="150"/>
      <c r="C96" s="65" t="s">
        <v>95</v>
      </c>
      <c r="D96" s="76">
        <v>0</v>
      </c>
      <c r="E96" s="76">
        <v>3</v>
      </c>
      <c r="F96" s="77" t="s">
        <v>96</v>
      </c>
      <c r="G96" s="76"/>
      <c r="H96" s="77" t="s">
        <v>36</v>
      </c>
      <c r="I96" s="76">
        <v>8</v>
      </c>
      <c r="J96" s="77" t="s">
        <v>39</v>
      </c>
      <c r="K96" s="65" t="s">
        <v>97</v>
      </c>
      <c r="L96" s="182"/>
    </row>
    <row r="97" spans="1:12" ht="26.25" customHeight="1" x14ac:dyDescent="0.15">
      <c r="A97" s="182"/>
      <c r="B97" s="158" t="s">
        <v>73</v>
      </c>
      <c r="C97" s="161"/>
      <c r="D97" s="161"/>
      <c r="E97" s="161"/>
      <c r="F97" s="161"/>
      <c r="G97" s="161"/>
      <c r="H97" s="161"/>
      <c r="I97" s="161"/>
      <c r="J97" s="161"/>
      <c r="K97" s="162"/>
      <c r="L97" s="182"/>
    </row>
    <row r="98" spans="1:12" ht="22" x14ac:dyDescent="0.15">
      <c r="A98" s="182"/>
      <c r="B98" s="33" t="s">
        <v>117</v>
      </c>
      <c r="C98" s="33" t="s">
        <v>10</v>
      </c>
      <c r="D98" s="33" t="s">
        <v>11</v>
      </c>
      <c r="E98" s="33" t="s">
        <v>12</v>
      </c>
      <c r="F98" s="34" t="s">
        <v>13</v>
      </c>
      <c r="G98" s="33" t="s">
        <v>14</v>
      </c>
      <c r="H98" s="34" t="s">
        <v>15</v>
      </c>
      <c r="I98" s="34" t="s">
        <v>16</v>
      </c>
      <c r="J98" s="34" t="s">
        <v>17</v>
      </c>
      <c r="K98" s="35" t="s">
        <v>18</v>
      </c>
      <c r="L98" s="182"/>
    </row>
    <row r="99" spans="1:12" ht="27" x14ac:dyDescent="0.15">
      <c r="A99" s="182"/>
      <c r="B99" s="148" t="s">
        <v>19</v>
      </c>
      <c r="C99" s="45" t="s">
        <v>20</v>
      </c>
      <c r="D99" s="46">
        <v>4</v>
      </c>
      <c r="E99" s="46">
        <v>1</v>
      </c>
      <c r="F99" s="47" t="s">
        <v>21</v>
      </c>
      <c r="G99" s="105" t="str">
        <f>IF(D4="kg",MROUND(E8*0.875,2.5)&amp;"-"&amp;MROUND(E8*0.9,2.5),MROUND(E8*0.875,5)&amp;"-"&amp;MROUND(E8*0.9,5))</f>
        <v>355-365</v>
      </c>
      <c r="H99" s="48" t="s">
        <v>43</v>
      </c>
      <c r="I99" s="105" t="s">
        <v>112</v>
      </c>
      <c r="J99" s="47" t="s">
        <v>24</v>
      </c>
      <c r="K99" s="45" t="s">
        <v>25</v>
      </c>
      <c r="L99" s="182"/>
    </row>
    <row r="100" spans="1:12" ht="27" x14ac:dyDescent="0.15">
      <c r="A100" s="182"/>
      <c r="B100" s="149"/>
      <c r="C100" s="66" t="s">
        <v>26</v>
      </c>
      <c r="D100" s="67">
        <v>0</v>
      </c>
      <c r="E100" s="67">
        <v>3</v>
      </c>
      <c r="F100" s="68" t="s">
        <v>76</v>
      </c>
      <c r="G100" s="69" t="str">
        <f>IF(D4="kg",MROUND(E8*0.775,2.5)&amp;"-"&amp;MROUND(E8*0.8,2.5),MROUND(E8*0.775,5)&amp;"-"&amp;MROUND(E8*0.8,5))</f>
        <v>315-325</v>
      </c>
      <c r="H100" s="69" t="s">
        <v>113</v>
      </c>
      <c r="I100" s="107">
        <v>44750</v>
      </c>
      <c r="J100" s="68" t="s">
        <v>24</v>
      </c>
      <c r="K100" s="66" t="s">
        <v>29</v>
      </c>
      <c r="L100" s="182"/>
    </row>
    <row r="101" spans="1:12" ht="54" x14ac:dyDescent="0.15">
      <c r="A101" s="182"/>
      <c r="B101" s="149"/>
      <c r="C101" s="65" t="s">
        <v>30</v>
      </c>
      <c r="D101" s="80">
        <v>3</v>
      </c>
      <c r="E101" s="80">
        <v>2</v>
      </c>
      <c r="F101" s="77" t="s">
        <v>31</v>
      </c>
      <c r="G101" s="76">
        <f>IF(D4="kg",MROUND(H8*0.7,2.5),MROUND(H8*0.7,5))</f>
        <v>157.5</v>
      </c>
      <c r="H101" s="113">
        <v>0.7</v>
      </c>
      <c r="I101" s="80">
        <v>6</v>
      </c>
      <c r="J101" s="77" t="s">
        <v>32</v>
      </c>
      <c r="K101" s="65" t="s">
        <v>33</v>
      </c>
      <c r="L101" s="182"/>
    </row>
    <row r="102" spans="1:12" ht="54" x14ac:dyDescent="0.15">
      <c r="A102" s="182"/>
      <c r="B102" s="149"/>
      <c r="C102" s="66" t="s">
        <v>34</v>
      </c>
      <c r="D102" s="67">
        <v>2</v>
      </c>
      <c r="E102" s="67">
        <v>2</v>
      </c>
      <c r="F102" s="68" t="s">
        <v>35</v>
      </c>
      <c r="G102" s="67"/>
      <c r="H102" s="67" t="s">
        <v>36</v>
      </c>
      <c r="I102" s="69">
        <v>6</v>
      </c>
      <c r="J102" s="67" t="s">
        <v>32</v>
      </c>
      <c r="K102" s="66" t="s">
        <v>37</v>
      </c>
      <c r="L102" s="182"/>
    </row>
    <row r="103" spans="1:12" ht="27" x14ac:dyDescent="0.15">
      <c r="A103" s="182"/>
      <c r="B103" s="150"/>
      <c r="C103" s="70" t="s">
        <v>38</v>
      </c>
      <c r="D103" s="71">
        <v>1</v>
      </c>
      <c r="E103" s="71">
        <v>4</v>
      </c>
      <c r="F103" s="72" t="s">
        <v>35</v>
      </c>
      <c r="G103" s="73"/>
      <c r="H103" s="71" t="s">
        <v>36</v>
      </c>
      <c r="I103" s="73">
        <v>9</v>
      </c>
      <c r="J103" s="74" t="s">
        <v>39</v>
      </c>
      <c r="K103" s="70" t="s">
        <v>40</v>
      </c>
      <c r="L103" s="182"/>
    </row>
    <row r="104" spans="1:12" ht="54" x14ac:dyDescent="0.15">
      <c r="A104" s="182"/>
      <c r="B104" s="148" t="s">
        <v>41</v>
      </c>
      <c r="C104" s="45" t="s">
        <v>42</v>
      </c>
      <c r="D104" s="48">
        <v>4</v>
      </c>
      <c r="E104" s="48">
        <v>1</v>
      </c>
      <c r="F104" s="47" t="s">
        <v>21</v>
      </c>
      <c r="G104" s="48" t="str">
        <f>IF(D4="kg",MROUND(F8*0.9,2.5)&amp;"-"&amp;MROUND(F8*0.95,2.5),MROUND(F8*0.9,5)&amp;"-"&amp;MROUND(F8*0.95,5))</f>
        <v>310-327.5</v>
      </c>
      <c r="H104" s="48" t="s">
        <v>118</v>
      </c>
      <c r="I104" s="46" t="s">
        <v>112</v>
      </c>
      <c r="J104" s="47" t="s">
        <v>24</v>
      </c>
      <c r="K104" s="45" t="s">
        <v>45</v>
      </c>
      <c r="L104" s="182"/>
    </row>
    <row r="105" spans="1:12" ht="54" x14ac:dyDescent="0.15">
      <c r="A105" s="182"/>
      <c r="B105" s="149"/>
      <c r="C105" s="75" t="s">
        <v>46</v>
      </c>
      <c r="D105" s="76">
        <v>0</v>
      </c>
      <c r="E105" s="76">
        <v>3</v>
      </c>
      <c r="F105" s="77" t="s">
        <v>106</v>
      </c>
      <c r="G105" s="76" t="str">
        <f>IF(D4="kg",MROUND(F8*0.85,2.5)&amp;"-"&amp;MROUND(F8*0.9,2.5),MROUND(F8*0.85,5)&amp;"-"&amp;MROUND(F8*0.9,5))</f>
        <v>292.5-310</v>
      </c>
      <c r="H105" s="76" t="s">
        <v>119</v>
      </c>
      <c r="I105" s="79">
        <v>44750</v>
      </c>
      <c r="J105" s="77" t="s">
        <v>24</v>
      </c>
      <c r="K105" s="65" t="s">
        <v>48</v>
      </c>
      <c r="L105" s="182"/>
    </row>
    <row r="106" spans="1:12" ht="27" x14ac:dyDescent="0.15">
      <c r="A106" s="182"/>
      <c r="B106" s="149"/>
      <c r="C106" s="75" t="s">
        <v>49</v>
      </c>
      <c r="D106" s="80">
        <v>1</v>
      </c>
      <c r="E106" s="80">
        <v>3</v>
      </c>
      <c r="F106" s="77" t="s">
        <v>50</v>
      </c>
      <c r="G106" s="76"/>
      <c r="H106" s="76" t="s">
        <v>36</v>
      </c>
      <c r="I106" s="80">
        <v>8</v>
      </c>
      <c r="J106" s="77" t="s">
        <v>39</v>
      </c>
      <c r="K106" s="65" t="s">
        <v>51</v>
      </c>
      <c r="L106" s="182"/>
    </row>
    <row r="107" spans="1:12" ht="54" x14ac:dyDescent="0.15">
      <c r="A107" s="182"/>
      <c r="B107" s="149"/>
      <c r="C107" s="75" t="s">
        <v>52</v>
      </c>
      <c r="D107" s="80">
        <v>1</v>
      </c>
      <c r="E107" s="80">
        <v>4</v>
      </c>
      <c r="F107" s="77" t="s">
        <v>53</v>
      </c>
      <c r="G107" s="76"/>
      <c r="H107" s="76" t="s">
        <v>36</v>
      </c>
      <c r="I107" s="80">
        <v>10</v>
      </c>
      <c r="J107" s="77" t="s">
        <v>39</v>
      </c>
      <c r="K107" s="65" t="s">
        <v>54</v>
      </c>
      <c r="L107" s="182"/>
    </row>
    <row r="108" spans="1:12" ht="27" x14ac:dyDescent="0.15">
      <c r="A108" s="182"/>
      <c r="B108" s="149"/>
      <c r="C108" s="81" t="s">
        <v>55</v>
      </c>
      <c r="D108" s="67">
        <v>0</v>
      </c>
      <c r="E108" s="67">
        <v>3</v>
      </c>
      <c r="F108" s="68" t="s">
        <v>56</v>
      </c>
      <c r="G108" s="82"/>
      <c r="H108" s="68" t="s">
        <v>36</v>
      </c>
      <c r="I108" s="67">
        <v>9</v>
      </c>
      <c r="J108" s="68" t="s">
        <v>39</v>
      </c>
      <c r="K108" s="65" t="s">
        <v>57</v>
      </c>
      <c r="L108" s="182"/>
    </row>
    <row r="109" spans="1:12" ht="27" x14ac:dyDescent="0.15">
      <c r="A109" s="182"/>
      <c r="B109" s="149"/>
      <c r="C109" s="75" t="s">
        <v>58</v>
      </c>
      <c r="D109" s="80">
        <v>1</v>
      </c>
      <c r="E109" s="80">
        <v>3</v>
      </c>
      <c r="F109" s="77" t="s">
        <v>50</v>
      </c>
      <c r="G109" s="80"/>
      <c r="H109" s="77" t="s">
        <v>36</v>
      </c>
      <c r="I109" s="77" t="s">
        <v>100</v>
      </c>
      <c r="J109" s="83" t="s">
        <v>39</v>
      </c>
      <c r="K109" s="65" t="s">
        <v>60</v>
      </c>
      <c r="L109" s="182"/>
    </row>
    <row r="110" spans="1:12" ht="54" x14ac:dyDescent="0.15">
      <c r="A110" s="182"/>
      <c r="B110" s="150"/>
      <c r="C110" s="84" t="s">
        <v>61</v>
      </c>
      <c r="D110" s="26">
        <v>0</v>
      </c>
      <c r="E110" s="26">
        <v>3</v>
      </c>
      <c r="F110" s="85" t="s">
        <v>53</v>
      </c>
      <c r="G110" s="86"/>
      <c r="H110" s="87" t="s">
        <v>36</v>
      </c>
      <c r="I110" s="26">
        <v>8</v>
      </c>
      <c r="J110" s="85" t="s">
        <v>39</v>
      </c>
      <c r="K110" s="12" t="s">
        <v>62</v>
      </c>
      <c r="L110" s="182"/>
    </row>
    <row r="111" spans="1:12" ht="54" x14ac:dyDescent="0.15">
      <c r="A111" s="182"/>
      <c r="B111" s="157" t="s">
        <v>63</v>
      </c>
      <c r="C111" s="108" t="s">
        <v>101</v>
      </c>
      <c r="D111" s="109">
        <v>3</v>
      </c>
      <c r="E111" s="109">
        <v>3</v>
      </c>
      <c r="F111" s="110" t="s">
        <v>31</v>
      </c>
      <c r="G111" s="111"/>
      <c r="H111" s="109" t="s">
        <v>36</v>
      </c>
      <c r="I111" s="109">
        <v>6</v>
      </c>
      <c r="J111" s="110" t="s">
        <v>65</v>
      </c>
      <c r="K111" s="66" t="s">
        <v>102</v>
      </c>
      <c r="L111" s="182"/>
    </row>
    <row r="112" spans="1:12" ht="54" x14ac:dyDescent="0.15">
      <c r="A112" s="182"/>
      <c r="B112" s="149"/>
      <c r="C112" s="75" t="s">
        <v>103</v>
      </c>
      <c r="D112" s="80">
        <v>3</v>
      </c>
      <c r="E112" s="80">
        <v>3</v>
      </c>
      <c r="F112" s="77" t="s">
        <v>31</v>
      </c>
      <c r="G112" s="92" t="str">
        <f>IF(D4="kg",MROUND(F8*0.7,2.5)&amp;"-"&amp;MROUND(F8*0.75,2.5),MROUND(F8*0.7,5)&amp;"-"&amp;MROUND(F8*0.75,5))</f>
        <v>242.5-260</v>
      </c>
      <c r="H112" s="76" t="s">
        <v>104</v>
      </c>
      <c r="I112" s="80">
        <v>6</v>
      </c>
      <c r="J112" s="77" t="s">
        <v>65</v>
      </c>
      <c r="K112" s="65" t="s">
        <v>105</v>
      </c>
      <c r="L112" s="182"/>
    </row>
    <row r="113" spans="1:12" ht="27" x14ac:dyDescent="0.15">
      <c r="A113" s="182"/>
      <c r="B113" s="149"/>
      <c r="C113" s="81" t="s">
        <v>69</v>
      </c>
      <c r="D113" s="67">
        <v>1</v>
      </c>
      <c r="E113" s="67">
        <v>4</v>
      </c>
      <c r="F113" s="68" t="s">
        <v>53</v>
      </c>
      <c r="G113" s="112"/>
      <c r="H113" s="67" t="s">
        <v>36</v>
      </c>
      <c r="I113" s="69">
        <v>9</v>
      </c>
      <c r="J113" s="67" t="s">
        <v>32</v>
      </c>
      <c r="K113" s="66" t="s">
        <v>70</v>
      </c>
      <c r="L113" s="182"/>
    </row>
    <row r="114" spans="1:12" ht="27" x14ac:dyDescent="0.15">
      <c r="A114" s="182"/>
      <c r="B114" s="150"/>
      <c r="C114" s="75" t="s">
        <v>71</v>
      </c>
      <c r="D114" s="80">
        <v>1</v>
      </c>
      <c r="E114" s="80">
        <v>3</v>
      </c>
      <c r="F114" s="77" t="s">
        <v>35</v>
      </c>
      <c r="G114" s="92"/>
      <c r="H114" s="76" t="s">
        <v>36</v>
      </c>
      <c r="I114" s="80">
        <v>10</v>
      </c>
      <c r="J114" s="77" t="s">
        <v>39</v>
      </c>
      <c r="K114" s="65" t="s">
        <v>72</v>
      </c>
      <c r="L114" s="182"/>
    </row>
    <row r="115" spans="1:12" ht="26.25" customHeight="1" x14ac:dyDescent="0.15">
      <c r="A115" s="182"/>
      <c r="B115" s="158" t="s">
        <v>73</v>
      </c>
      <c r="C115" s="161"/>
      <c r="D115" s="161"/>
      <c r="E115" s="161"/>
      <c r="F115" s="161"/>
      <c r="G115" s="161"/>
      <c r="H115" s="161"/>
      <c r="I115" s="161"/>
      <c r="J115" s="161"/>
      <c r="K115" s="162"/>
      <c r="L115" s="182"/>
    </row>
    <row r="116" spans="1:12" ht="27" x14ac:dyDescent="0.15">
      <c r="A116" s="182"/>
      <c r="B116" s="148" t="s">
        <v>74</v>
      </c>
      <c r="C116" s="94" t="s">
        <v>75</v>
      </c>
      <c r="D116" s="95">
        <v>4</v>
      </c>
      <c r="E116" s="95">
        <v>1</v>
      </c>
      <c r="F116" s="96" t="s">
        <v>21</v>
      </c>
      <c r="G116" s="95" t="str">
        <f>IF(D4="kg",MROUND(G8*0.925,2.5)&amp;"-"&amp;MROUND(G8*0.95,2.5),MROUND(G8*0.925,5)&amp;"-"&amp;MROUND(G8*0.95,5))</f>
        <v>462.5-475</v>
      </c>
      <c r="H116" s="95" t="s">
        <v>120</v>
      </c>
      <c r="I116" s="98">
        <v>44782</v>
      </c>
      <c r="J116" s="96" t="s">
        <v>24</v>
      </c>
      <c r="K116" s="99" t="s">
        <v>77</v>
      </c>
      <c r="L116" s="182"/>
    </row>
    <row r="117" spans="1:12" ht="54" x14ac:dyDescent="0.15">
      <c r="A117" s="182"/>
      <c r="B117" s="149"/>
      <c r="C117" s="75" t="s">
        <v>107</v>
      </c>
      <c r="D117" s="80">
        <v>0</v>
      </c>
      <c r="E117" s="80">
        <v>2</v>
      </c>
      <c r="F117" s="77" t="s">
        <v>31</v>
      </c>
      <c r="G117" s="76" t="str">
        <f>IF(D4="kg",MROUND(G8*0.65,2.5)&amp;"-"&amp;MROUND(G8*0.75,2.5),MROUND(G8*0.65,5)&amp;"-"&amp;MROUND(G8*0.75,5))</f>
        <v>325-375</v>
      </c>
      <c r="H117" s="76" t="s">
        <v>121</v>
      </c>
      <c r="I117" s="80">
        <v>7</v>
      </c>
      <c r="J117" s="77" t="s">
        <v>65</v>
      </c>
      <c r="K117" s="65" t="s">
        <v>109</v>
      </c>
      <c r="L117" s="182"/>
    </row>
    <row r="118" spans="1:12" ht="54" x14ac:dyDescent="0.15">
      <c r="A118" s="182"/>
      <c r="B118" s="149"/>
      <c r="C118" s="81" t="s">
        <v>80</v>
      </c>
      <c r="D118" s="67">
        <v>0</v>
      </c>
      <c r="E118" s="67">
        <v>4</v>
      </c>
      <c r="F118" s="68" t="s">
        <v>56</v>
      </c>
      <c r="G118" s="69"/>
      <c r="H118" s="69" t="s">
        <v>36</v>
      </c>
      <c r="I118" s="67">
        <v>9</v>
      </c>
      <c r="J118" s="68" t="s">
        <v>39</v>
      </c>
      <c r="K118" s="66" t="s">
        <v>81</v>
      </c>
      <c r="L118" s="182"/>
    </row>
    <row r="119" spans="1:12" ht="27" x14ac:dyDescent="0.15">
      <c r="A119" s="182"/>
      <c r="B119" s="149"/>
      <c r="C119" s="75" t="s">
        <v>82</v>
      </c>
      <c r="D119" s="80">
        <v>1</v>
      </c>
      <c r="E119" s="80">
        <v>4</v>
      </c>
      <c r="F119" s="77" t="s">
        <v>56</v>
      </c>
      <c r="G119" s="92"/>
      <c r="H119" s="77" t="s">
        <v>36</v>
      </c>
      <c r="I119" s="80">
        <v>9</v>
      </c>
      <c r="J119" s="77" t="s">
        <v>39</v>
      </c>
      <c r="K119" s="65" t="s">
        <v>83</v>
      </c>
      <c r="L119" s="182"/>
    </row>
    <row r="120" spans="1:12" ht="54" x14ac:dyDescent="0.15">
      <c r="A120" s="182"/>
      <c r="B120" s="149"/>
      <c r="C120" s="81" t="s">
        <v>84</v>
      </c>
      <c r="D120" s="67">
        <v>1</v>
      </c>
      <c r="E120" s="67">
        <v>3</v>
      </c>
      <c r="F120" s="68" t="s">
        <v>56</v>
      </c>
      <c r="G120" s="67"/>
      <c r="H120" s="68" t="s">
        <v>36</v>
      </c>
      <c r="I120" s="68" t="s">
        <v>85</v>
      </c>
      <c r="J120" s="115" t="s">
        <v>39</v>
      </c>
      <c r="K120" s="66" t="s">
        <v>86</v>
      </c>
      <c r="L120" s="182"/>
    </row>
    <row r="121" spans="1:12" ht="27" x14ac:dyDescent="0.15">
      <c r="A121" s="182"/>
      <c r="B121" s="150"/>
      <c r="C121" s="116" t="s">
        <v>87</v>
      </c>
      <c r="D121" s="20">
        <v>1</v>
      </c>
      <c r="E121" s="20">
        <v>4</v>
      </c>
      <c r="F121" s="117" t="s">
        <v>35</v>
      </c>
      <c r="G121" s="29"/>
      <c r="H121" s="114" t="s">
        <v>36</v>
      </c>
      <c r="I121" s="20">
        <v>9</v>
      </c>
      <c r="J121" s="117" t="s">
        <v>39</v>
      </c>
      <c r="K121" s="12" t="s">
        <v>88</v>
      </c>
      <c r="L121" s="182"/>
    </row>
    <row r="122" spans="1:12" ht="27" x14ac:dyDescent="0.15">
      <c r="A122" s="182"/>
      <c r="B122" s="148" t="s">
        <v>89</v>
      </c>
      <c r="C122" s="66" t="s">
        <v>26</v>
      </c>
      <c r="D122" s="69">
        <v>4</v>
      </c>
      <c r="E122" s="69">
        <v>2</v>
      </c>
      <c r="F122" s="68" t="s">
        <v>90</v>
      </c>
      <c r="G122" s="69">
        <f>IF(D4="kg",MROUND(E8*0.775,2.5),MROUND(E8*0.775,5))</f>
        <v>315</v>
      </c>
      <c r="H122" s="68" t="s">
        <v>116</v>
      </c>
      <c r="I122" s="107">
        <v>44750</v>
      </c>
      <c r="J122" s="68" t="s">
        <v>24</v>
      </c>
      <c r="K122" s="66" t="s">
        <v>29</v>
      </c>
      <c r="L122" s="182"/>
    </row>
    <row r="123" spans="1:12" ht="54" x14ac:dyDescent="0.15">
      <c r="A123" s="182"/>
      <c r="B123" s="149"/>
      <c r="C123" s="65" t="s">
        <v>46</v>
      </c>
      <c r="D123" s="76">
        <v>4</v>
      </c>
      <c r="E123" s="76">
        <v>1</v>
      </c>
      <c r="F123" s="77" t="s">
        <v>90</v>
      </c>
      <c r="G123" s="76">
        <f>IF(D4="kg",MROUND(F8*0.8,2.5),MROUND(F8*0.8,5))</f>
        <v>275</v>
      </c>
      <c r="H123" s="77" t="s">
        <v>122</v>
      </c>
      <c r="I123" s="79">
        <v>44750</v>
      </c>
      <c r="J123" s="77" t="s">
        <v>24</v>
      </c>
      <c r="K123" s="65" t="s">
        <v>48</v>
      </c>
      <c r="L123" s="182"/>
    </row>
    <row r="124" spans="1:12" ht="27" x14ac:dyDescent="0.15">
      <c r="A124" s="182"/>
      <c r="B124" s="149"/>
      <c r="C124" s="66" t="s">
        <v>93</v>
      </c>
      <c r="D124" s="69">
        <v>1</v>
      </c>
      <c r="E124" s="69">
        <v>3</v>
      </c>
      <c r="F124" s="68" t="s">
        <v>50</v>
      </c>
      <c r="G124" s="69"/>
      <c r="H124" s="68" t="s">
        <v>36</v>
      </c>
      <c r="I124" s="69">
        <v>8</v>
      </c>
      <c r="J124" s="68" t="s">
        <v>32</v>
      </c>
      <c r="K124" s="66" t="s">
        <v>94</v>
      </c>
      <c r="L124" s="182"/>
    </row>
    <row r="125" spans="1:12" ht="54" x14ac:dyDescent="0.15">
      <c r="A125" s="182"/>
      <c r="B125" s="150"/>
      <c r="C125" s="65" t="s">
        <v>95</v>
      </c>
      <c r="D125" s="76">
        <v>0</v>
      </c>
      <c r="E125" s="76">
        <v>3</v>
      </c>
      <c r="F125" s="77" t="s">
        <v>96</v>
      </c>
      <c r="G125" s="76"/>
      <c r="H125" s="77" t="s">
        <v>36</v>
      </c>
      <c r="I125" s="76">
        <v>8</v>
      </c>
      <c r="J125" s="77" t="s">
        <v>39</v>
      </c>
      <c r="K125" s="65" t="s">
        <v>97</v>
      </c>
      <c r="L125" s="182"/>
    </row>
    <row r="126" spans="1:12" ht="26.25" customHeight="1" x14ac:dyDescent="0.15">
      <c r="A126" s="182"/>
      <c r="B126" s="158" t="s">
        <v>73</v>
      </c>
      <c r="C126" s="161"/>
      <c r="D126" s="161"/>
      <c r="E126" s="161"/>
      <c r="F126" s="161"/>
      <c r="G126" s="161"/>
      <c r="H126" s="161"/>
      <c r="I126" s="161"/>
      <c r="J126" s="161"/>
      <c r="K126" s="162"/>
      <c r="L126" s="182"/>
    </row>
    <row r="127" spans="1:12" ht="27.75" customHeight="1" x14ac:dyDescent="0.15">
      <c r="A127" s="182"/>
      <c r="B127" s="176" t="s">
        <v>123</v>
      </c>
      <c r="C127" s="177"/>
      <c r="D127" s="177"/>
      <c r="E127" s="177"/>
      <c r="F127" s="177"/>
      <c r="G127" s="177"/>
      <c r="H127" s="177"/>
      <c r="I127" s="177"/>
      <c r="J127" s="177"/>
      <c r="K127" s="178"/>
      <c r="L127" s="182"/>
    </row>
    <row r="128" spans="1:12" ht="22" x14ac:dyDescent="0.15">
      <c r="A128" s="182"/>
      <c r="B128" s="33" t="s">
        <v>124</v>
      </c>
      <c r="C128" s="33" t="s">
        <v>10</v>
      </c>
      <c r="D128" s="33" t="s">
        <v>11</v>
      </c>
      <c r="E128" s="33" t="s">
        <v>12</v>
      </c>
      <c r="F128" s="34" t="s">
        <v>13</v>
      </c>
      <c r="G128" s="33" t="s">
        <v>14</v>
      </c>
      <c r="H128" s="34" t="s">
        <v>15</v>
      </c>
      <c r="I128" s="34" t="s">
        <v>16</v>
      </c>
      <c r="J128" s="34" t="s">
        <v>17</v>
      </c>
      <c r="K128" s="35" t="s">
        <v>18</v>
      </c>
      <c r="L128" s="182"/>
    </row>
    <row r="129" spans="1:12" ht="27" x14ac:dyDescent="0.15">
      <c r="A129" s="182"/>
      <c r="B129" s="148" t="s">
        <v>19</v>
      </c>
      <c r="C129" s="55" t="s">
        <v>26</v>
      </c>
      <c r="D129" s="56">
        <v>4</v>
      </c>
      <c r="E129" s="56">
        <v>2</v>
      </c>
      <c r="F129" s="57" t="s">
        <v>27</v>
      </c>
      <c r="G129" s="58" t="str">
        <f>IF(D4="kg",MROUND(E8*0.75,2.5)&amp;"-"&amp;MROUND(E8*0.775,2.5),MROUND(E8*0.75,5)&amp;"-"&amp;MROUND(E8*0.775,5))</f>
        <v>305-315</v>
      </c>
      <c r="H129" s="58" t="s">
        <v>28</v>
      </c>
      <c r="I129" s="58" t="s">
        <v>125</v>
      </c>
      <c r="J129" s="57" t="s">
        <v>24</v>
      </c>
      <c r="K129" s="11" t="s">
        <v>29</v>
      </c>
      <c r="L129" s="182"/>
    </row>
    <row r="130" spans="1:12" ht="54" x14ac:dyDescent="0.15">
      <c r="A130" s="182"/>
      <c r="B130" s="149"/>
      <c r="C130" s="60" t="s">
        <v>30</v>
      </c>
      <c r="D130" s="61">
        <v>3</v>
      </c>
      <c r="E130" s="61">
        <v>2</v>
      </c>
      <c r="F130" s="62" t="s">
        <v>31</v>
      </c>
      <c r="G130" s="63">
        <f>IF(D4="kg",MROUND(H8*0.7,2.5),MROUND(H8*0.7,5))</f>
        <v>157.5</v>
      </c>
      <c r="H130" s="64">
        <v>0.7</v>
      </c>
      <c r="I130" s="61">
        <v>6</v>
      </c>
      <c r="J130" s="62" t="s">
        <v>32</v>
      </c>
      <c r="K130" s="65" t="s">
        <v>126</v>
      </c>
      <c r="L130" s="182"/>
    </row>
    <row r="131" spans="1:12" ht="54" x14ac:dyDescent="0.15">
      <c r="A131" s="182"/>
      <c r="B131" s="149"/>
      <c r="C131" s="66" t="s">
        <v>34</v>
      </c>
      <c r="D131" s="67">
        <v>2</v>
      </c>
      <c r="E131" s="67">
        <v>2</v>
      </c>
      <c r="F131" s="68" t="s">
        <v>35</v>
      </c>
      <c r="G131" s="67"/>
      <c r="H131" s="67" t="s">
        <v>36</v>
      </c>
      <c r="I131" s="69">
        <v>6</v>
      </c>
      <c r="J131" s="67" t="s">
        <v>32</v>
      </c>
      <c r="K131" s="66" t="s">
        <v>37</v>
      </c>
      <c r="L131" s="182"/>
    </row>
    <row r="132" spans="1:12" ht="27" x14ac:dyDescent="0.15">
      <c r="A132" s="182"/>
      <c r="B132" s="150"/>
      <c r="C132" s="70" t="s">
        <v>38</v>
      </c>
      <c r="D132" s="71">
        <v>1</v>
      </c>
      <c r="E132" s="71">
        <v>3</v>
      </c>
      <c r="F132" s="72" t="s">
        <v>35</v>
      </c>
      <c r="G132" s="73"/>
      <c r="H132" s="71" t="s">
        <v>36</v>
      </c>
      <c r="I132" s="73">
        <v>9</v>
      </c>
      <c r="J132" s="74" t="s">
        <v>39</v>
      </c>
      <c r="K132" s="70" t="s">
        <v>40</v>
      </c>
      <c r="L132" s="182"/>
    </row>
    <row r="133" spans="1:12" ht="54" x14ac:dyDescent="0.15">
      <c r="A133" s="182"/>
      <c r="B133" s="148" t="s">
        <v>41</v>
      </c>
      <c r="C133" s="75" t="s">
        <v>46</v>
      </c>
      <c r="D133" s="76">
        <v>4</v>
      </c>
      <c r="E133" s="76">
        <v>3</v>
      </c>
      <c r="F133" s="77" t="s">
        <v>47</v>
      </c>
      <c r="G133" s="76">
        <f>IF(D4="kg",MROUND(F8*0.85,2.5),MROUND(F8*0.85,5))</f>
        <v>292.5</v>
      </c>
      <c r="H133" s="113">
        <v>0.85</v>
      </c>
      <c r="I133" s="79">
        <v>44750</v>
      </c>
      <c r="J133" s="77" t="s">
        <v>24</v>
      </c>
      <c r="K133" s="65" t="s">
        <v>48</v>
      </c>
      <c r="L133" s="182"/>
    </row>
    <row r="134" spans="1:12" ht="27" x14ac:dyDescent="0.15">
      <c r="A134" s="182"/>
      <c r="B134" s="149"/>
      <c r="C134" s="75" t="s">
        <v>49</v>
      </c>
      <c r="D134" s="80">
        <v>1</v>
      </c>
      <c r="E134" s="80">
        <v>3</v>
      </c>
      <c r="F134" s="77" t="s">
        <v>50</v>
      </c>
      <c r="G134" s="76"/>
      <c r="H134" s="76" t="s">
        <v>36</v>
      </c>
      <c r="I134" s="80">
        <v>8</v>
      </c>
      <c r="J134" s="77" t="s">
        <v>39</v>
      </c>
      <c r="K134" s="65" t="s">
        <v>51</v>
      </c>
      <c r="L134" s="182"/>
    </row>
    <row r="135" spans="1:12" ht="54" x14ac:dyDescent="0.15">
      <c r="A135" s="182"/>
      <c r="B135" s="149"/>
      <c r="C135" s="75" t="s">
        <v>52</v>
      </c>
      <c r="D135" s="80">
        <v>1</v>
      </c>
      <c r="E135" s="80">
        <v>3</v>
      </c>
      <c r="F135" s="77" t="s">
        <v>53</v>
      </c>
      <c r="G135" s="76"/>
      <c r="H135" s="76" t="s">
        <v>36</v>
      </c>
      <c r="I135" s="80">
        <v>9</v>
      </c>
      <c r="J135" s="77" t="s">
        <v>39</v>
      </c>
      <c r="K135" s="65" t="s">
        <v>54</v>
      </c>
      <c r="L135" s="182"/>
    </row>
    <row r="136" spans="1:12" ht="27" x14ac:dyDescent="0.15">
      <c r="A136" s="182"/>
      <c r="B136" s="149"/>
      <c r="C136" s="81" t="s">
        <v>55</v>
      </c>
      <c r="D136" s="67">
        <v>0</v>
      </c>
      <c r="E136" s="67">
        <v>3</v>
      </c>
      <c r="F136" s="68" t="s">
        <v>56</v>
      </c>
      <c r="G136" s="82"/>
      <c r="H136" s="68" t="s">
        <v>36</v>
      </c>
      <c r="I136" s="67">
        <v>9</v>
      </c>
      <c r="J136" s="68" t="s">
        <v>39</v>
      </c>
      <c r="K136" s="65" t="s">
        <v>57</v>
      </c>
      <c r="L136" s="182"/>
    </row>
    <row r="137" spans="1:12" ht="27" x14ac:dyDescent="0.15">
      <c r="A137" s="182"/>
      <c r="B137" s="149"/>
      <c r="C137" s="75" t="s">
        <v>58</v>
      </c>
      <c r="D137" s="80">
        <v>1</v>
      </c>
      <c r="E137" s="80">
        <v>3</v>
      </c>
      <c r="F137" s="77" t="s">
        <v>50</v>
      </c>
      <c r="G137" s="80"/>
      <c r="H137" s="77" t="s">
        <v>36</v>
      </c>
      <c r="I137" s="77" t="s">
        <v>100</v>
      </c>
      <c r="J137" s="83" t="s">
        <v>39</v>
      </c>
      <c r="K137" s="66" t="s">
        <v>60</v>
      </c>
      <c r="L137" s="182"/>
    </row>
    <row r="138" spans="1:12" ht="54" x14ac:dyDescent="0.15">
      <c r="A138" s="182"/>
      <c r="B138" s="150"/>
      <c r="C138" s="84" t="s">
        <v>61</v>
      </c>
      <c r="D138" s="26">
        <v>0</v>
      </c>
      <c r="E138" s="26">
        <v>3</v>
      </c>
      <c r="F138" s="85" t="s">
        <v>53</v>
      </c>
      <c r="G138" s="86"/>
      <c r="H138" s="87" t="s">
        <v>36</v>
      </c>
      <c r="I138" s="26">
        <v>8</v>
      </c>
      <c r="J138" s="85" t="s">
        <v>39</v>
      </c>
      <c r="K138" s="12" t="s">
        <v>62</v>
      </c>
      <c r="L138" s="182"/>
    </row>
    <row r="139" spans="1:12" ht="54" x14ac:dyDescent="0.15">
      <c r="A139" s="182"/>
      <c r="B139" s="157" t="s">
        <v>63</v>
      </c>
      <c r="C139" s="88" t="s">
        <v>64</v>
      </c>
      <c r="D139" s="89">
        <v>3</v>
      </c>
      <c r="E139" s="89">
        <v>2</v>
      </c>
      <c r="F139" s="90" t="s">
        <v>90</v>
      </c>
      <c r="G139" s="91"/>
      <c r="H139" s="89" t="s">
        <v>36</v>
      </c>
      <c r="I139" s="89">
        <v>6</v>
      </c>
      <c r="J139" s="90" t="s">
        <v>65</v>
      </c>
      <c r="K139" s="118" t="s">
        <v>66</v>
      </c>
      <c r="L139" s="182"/>
    </row>
    <row r="140" spans="1:12" ht="27" x14ac:dyDescent="0.15">
      <c r="A140" s="182"/>
      <c r="B140" s="149"/>
      <c r="C140" s="75" t="s">
        <v>67</v>
      </c>
      <c r="D140" s="80">
        <v>3</v>
      </c>
      <c r="E140" s="80">
        <v>2</v>
      </c>
      <c r="F140" s="77" t="s">
        <v>31</v>
      </c>
      <c r="G140" s="92"/>
      <c r="H140" s="76" t="s">
        <v>36</v>
      </c>
      <c r="I140" s="80">
        <v>6</v>
      </c>
      <c r="J140" s="77" t="s">
        <v>65</v>
      </c>
      <c r="K140" s="65" t="s">
        <v>68</v>
      </c>
      <c r="L140" s="182"/>
    </row>
    <row r="141" spans="1:12" ht="27" x14ac:dyDescent="0.15">
      <c r="A141" s="182"/>
      <c r="B141" s="149"/>
      <c r="C141" s="75" t="s">
        <v>69</v>
      </c>
      <c r="D141" s="80">
        <v>1</v>
      </c>
      <c r="E141" s="80">
        <v>3</v>
      </c>
      <c r="F141" s="77" t="s">
        <v>53</v>
      </c>
      <c r="G141" s="93"/>
      <c r="H141" s="80" t="s">
        <v>36</v>
      </c>
      <c r="I141" s="76">
        <v>9</v>
      </c>
      <c r="J141" s="80" t="s">
        <v>32</v>
      </c>
      <c r="K141" s="65" t="s">
        <v>70</v>
      </c>
      <c r="L141" s="182"/>
    </row>
    <row r="142" spans="1:12" ht="27" x14ac:dyDescent="0.15">
      <c r="A142" s="182"/>
      <c r="B142" s="150"/>
      <c r="C142" s="75" t="s">
        <v>71</v>
      </c>
      <c r="D142" s="80">
        <v>1</v>
      </c>
      <c r="E142" s="80">
        <v>3</v>
      </c>
      <c r="F142" s="77" t="s">
        <v>35</v>
      </c>
      <c r="G142" s="92"/>
      <c r="H142" s="76" t="s">
        <v>36</v>
      </c>
      <c r="I142" s="80">
        <v>9</v>
      </c>
      <c r="J142" s="77" t="s">
        <v>32</v>
      </c>
      <c r="K142" s="66" t="s">
        <v>72</v>
      </c>
      <c r="L142" s="182"/>
    </row>
    <row r="143" spans="1:12" ht="26.25" customHeight="1" x14ac:dyDescent="0.15">
      <c r="A143" s="182"/>
      <c r="B143" s="158" t="s">
        <v>73</v>
      </c>
      <c r="C143" s="161"/>
      <c r="D143" s="161"/>
      <c r="E143" s="161"/>
      <c r="F143" s="161"/>
      <c r="G143" s="161"/>
      <c r="H143" s="161"/>
      <c r="I143" s="161"/>
      <c r="J143" s="161"/>
      <c r="K143" s="162"/>
      <c r="L143" s="182"/>
    </row>
    <row r="144" spans="1:12" ht="27" x14ac:dyDescent="0.15">
      <c r="A144" s="182"/>
      <c r="B144" s="148" t="s">
        <v>74</v>
      </c>
      <c r="C144" s="88" t="s">
        <v>75</v>
      </c>
      <c r="D144" s="119">
        <v>4</v>
      </c>
      <c r="E144" s="119">
        <v>1</v>
      </c>
      <c r="F144" s="90" t="s">
        <v>47</v>
      </c>
      <c r="G144" s="119">
        <f>IF(D4="kg",MROUND(G8*0.85,2.5),MROUND(G8*0.85,5))</f>
        <v>425</v>
      </c>
      <c r="H144" s="120">
        <v>0.85</v>
      </c>
      <c r="I144" s="121">
        <v>44750</v>
      </c>
      <c r="J144" s="90" t="s">
        <v>24</v>
      </c>
      <c r="K144" s="118" t="s">
        <v>77</v>
      </c>
      <c r="L144" s="182"/>
    </row>
    <row r="145" spans="1:12" ht="27" x14ac:dyDescent="0.15">
      <c r="A145" s="182"/>
      <c r="B145" s="149"/>
      <c r="C145" s="81" t="s">
        <v>78</v>
      </c>
      <c r="D145" s="67">
        <v>0</v>
      </c>
      <c r="E145" s="67">
        <v>2</v>
      </c>
      <c r="F145" s="68" t="s">
        <v>76</v>
      </c>
      <c r="G145" s="69">
        <f>IF(D4="kg",MROUND(G8*0.675,2.5),MROUND(G8*0.675,5))</f>
        <v>337.5</v>
      </c>
      <c r="H145" s="100">
        <v>0.67500000000000004</v>
      </c>
      <c r="I145" s="67">
        <v>7</v>
      </c>
      <c r="J145" s="68" t="s">
        <v>65</v>
      </c>
      <c r="K145" s="66" t="s">
        <v>79</v>
      </c>
      <c r="L145" s="182"/>
    </row>
    <row r="146" spans="1:12" ht="54" x14ac:dyDescent="0.15">
      <c r="A146" s="182"/>
      <c r="B146" s="149"/>
      <c r="C146" s="75" t="s">
        <v>80</v>
      </c>
      <c r="D146" s="80">
        <v>0</v>
      </c>
      <c r="E146" s="80">
        <v>3</v>
      </c>
      <c r="F146" s="77" t="s">
        <v>56</v>
      </c>
      <c r="G146" s="76"/>
      <c r="H146" s="76" t="s">
        <v>36</v>
      </c>
      <c r="I146" s="80">
        <v>9</v>
      </c>
      <c r="J146" s="77" t="s">
        <v>39</v>
      </c>
      <c r="K146" s="65" t="s">
        <v>81</v>
      </c>
      <c r="L146" s="182"/>
    </row>
    <row r="147" spans="1:12" ht="27" x14ac:dyDescent="0.15">
      <c r="A147" s="182"/>
      <c r="B147" s="149"/>
      <c r="C147" s="81" t="s">
        <v>82</v>
      </c>
      <c r="D147" s="67">
        <v>1</v>
      </c>
      <c r="E147" s="67">
        <v>3</v>
      </c>
      <c r="F147" s="68" t="s">
        <v>56</v>
      </c>
      <c r="G147" s="82"/>
      <c r="H147" s="68" t="s">
        <v>36</v>
      </c>
      <c r="I147" s="67">
        <v>9</v>
      </c>
      <c r="J147" s="68" t="s">
        <v>39</v>
      </c>
      <c r="K147" s="66" t="s">
        <v>83</v>
      </c>
      <c r="L147" s="182"/>
    </row>
    <row r="148" spans="1:12" ht="54" x14ac:dyDescent="0.15">
      <c r="A148" s="182"/>
      <c r="B148" s="149"/>
      <c r="C148" s="75" t="s">
        <v>84</v>
      </c>
      <c r="D148" s="80">
        <v>1</v>
      </c>
      <c r="E148" s="80">
        <v>3</v>
      </c>
      <c r="F148" s="77" t="s">
        <v>56</v>
      </c>
      <c r="G148" s="80"/>
      <c r="H148" s="77" t="s">
        <v>36</v>
      </c>
      <c r="I148" s="77" t="s">
        <v>85</v>
      </c>
      <c r="J148" s="83" t="s">
        <v>39</v>
      </c>
      <c r="K148" s="65" t="s">
        <v>86</v>
      </c>
      <c r="L148" s="182"/>
    </row>
    <row r="149" spans="1:12" ht="27" x14ac:dyDescent="0.15">
      <c r="A149" s="182"/>
      <c r="B149" s="150"/>
      <c r="C149" s="84" t="s">
        <v>87</v>
      </c>
      <c r="D149" s="26">
        <v>1</v>
      </c>
      <c r="E149" s="26">
        <v>3</v>
      </c>
      <c r="F149" s="85" t="s">
        <v>35</v>
      </c>
      <c r="G149" s="86"/>
      <c r="H149" s="87" t="s">
        <v>36</v>
      </c>
      <c r="I149" s="26">
        <v>9</v>
      </c>
      <c r="J149" s="85" t="s">
        <v>39</v>
      </c>
      <c r="K149" s="101" t="s">
        <v>88</v>
      </c>
      <c r="L149" s="182"/>
    </row>
    <row r="150" spans="1:12" ht="27" x14ac:dyDescent="0.15">
      <c r="A150" s="182"/>
      <c r="B150" s="148" t="s">
        <v>89</v>
      </c>
      <c r="C150" s="102" t="s">
        <v>26</v>
      </c>
      <c r="D150" s="103">
        <v>4</v>
      </c>
      <c r="E150" s="63">
        <v>2</v>
      </c>
      <c r="F150" s="62" t="s">
        <v>90</v>
      </c>
      <c r="G150" s="63">
        <f>IF(D4="kg",MROUND(E8*0.7,2.5),MROUND(E8*0.7,5))</f>
        <v>282.5</v>
      </c>
      <c r="H150" s="62" t="s">
        <v>91</v>
      </c>
      <c r="I150" s="104">
        <v>44750</v>
      </c>
      <c r="J150" s="62" t="s">
        <v>24</v>
      </c>
      <c r="K150" s="60" t="s">
        <v>29</v>
      </c>
      <c r="L150" s="182"/>
    </row>
    <row r="151" spans="1:12" ht="54" x14ac:dyDescent="0.15">
      <c r="A151" s="182"/>
      <c r="B151" s="149"/>
      <c r="C151" s="60" t="s">
        <v>46</v>
      </c>
      <c r="D151" s="63">
        <v>4</v>
      </c>
      <c r="E151" s="63">
        <v>2</v>
      </c>
      <c r="F151" s="62" t="s">
        <v>90</v>
      </c>
      <c r="G151" s="63">
        <f>IF(D4="kg",MROUND(F8*0.725,2.5),MROUND(F8*0.725,5))</f>
        <v>250</v>
      </c>
      <c r="H151" s="62" t="s">
        <v>92</v>
      </c>
      <c r="I151" s="104">
        <v>44750</v>
      </c>
      <c r="J151" s="62" t="s">
        <v>24</v>
      </c>
      <c r="K151" s="60" t="s">
        <v>48</v>
      </c>
      <c r="L151" s="182"/>
    </row>
    <row r="152" spans="1:12" ht="27" x14ac:dyDescent="0.15">
      <c r="A152" s="182"/>
      <c r="B152" s="149"/>
      <c r="C152" s="65" t="s">
        <v>93</v>
      </c>
      <c r="D152" s="76">
        <v>1</v>
      </c>
      <c r="E152" s="76">
        <v>3</v>
      </c>
      <c r="F152" s="77" t="s">
        <v>50</v>
      </c>
      <c r="G152" s="76"/>
      <c r="H152" s="77" t="s">
        <v>36</v>
      </c>
      <c r="I152" s="76">
        <v>8</v>
      </c>
      <c r="J152" s="77" t="s">
        <v>32</v>
      </c>
      <c r="K152" s="65" t="s">
        <v>94</v>
      </c>
      <c r="L152" s="182"/>
    </row>
    <row r="153" spans="1:12" ht="54" x14ac:dyDescent="0.15">
      <c r="A153" s="182"/>
      <c r="B153" s="150"/>
      <c r="C153" s="66" t="s">
        <v>95</v>
      </c>
      <c r="D153" s="69">
        <v>0</v>
      </c>
      <c r="E153" s="69">
        <v>3</v>
      </c>
      <c r="F153" s="68" t="s">
        <v>96</v>
      </c>
      <c r="G153" s="69"/>
      <c r="H153" s="68" t="s">
        <v>36</v>
      </c>
      <c r="I153" s="69">
        <v>8</v>
      </c>
      <c r="J153" s="68" t="s">
        <v>39</v>
      </c>
      <c r="K153" s="66" t="s">
        <v>97</v>
      </c>
      <c r="L153" s="182"/>
    </row>
    <row r="154" spans="1:12" ht="26.25" customHeight="1" x14ac:dyDescent="0.15">
      <c r="A154" s="182"/>
      <c r="B154" s="158" t="s">
        <v>73</v>
      </c>
      <c r="C154" s="159"/>
      <c r="D154" s="159"/>
      <c r="E154" s="159"/>
      <c r="F154" s="159"/>
      <c r="G154" s="159"/>
      <c r="H154" s="159"/>
      <c r="I154" s="159"/>
      <c r="J154" s="159"/>
      <c r="K154" s="160"/>
      <c r="L154" s="182"/>
    </row>
    <row r="155" spans="1:12" ht="22" x14ac:dyDescent="0.15">
      <c r="A155" s="182"/>
      <c r="B155" s="33" t="s">
        <v>127</v>
      </c>
      <c r="C155" s="33" t="s">
        <v>10</v>
      </c>
      <c r="D155" s="33" t="s">
        <v>11</v>
      </c>
      <c r="E155" s="33" t="s">
        <v>12</v>
      </c>
      <c r="F155" s="34" t="s">
        <v>13</v>
      </c>
      <c r="G155" s="33" t="s">
        <v>14</v>
      </c>
      <c r="H155" s="34" t="s">
        <v>15</v>
      </c>
      <c r="I155" s="34" t="s">
        <v>16</v>
      </c>
      <c r="J155" s="34" t="s">
        <v>17</v>
      </c>
      <c r="K155" s="35" t="s">
        <v>18</v>
      </c>
      <c r="L155" s="182"/>
    </row>
    <row r="156" spans="1:12" ht="27" x14ac:dyDescent="0.15">
      <c r="A156" s="182"/>
      <c r="B156" s="148" t="s">
        <v>19</v>
      </c>
      <c r="C156" s="45" t="s">
        <v>20</v>
      </c>
      <c r="D156" s="46">
        <v>4</v>
      </c>
      <c r="E156" s="46">
        <v>1</v>
      </c>
      <c r="F156" s="47" t="s">
        <v>21</v>
      </c>
      <c r="G156" s="105" t="str">
        <f>IF(D4="kg",MROUND(E8*0.875,2.5)&amp;"-"&amp;MROUND(E8*0.9,2.5),MROUND(E8*0.875,5)&amp;"-"&amp;MROUND(E8*0.9,5))</f>
        <v>355-365</v>
      </c>
      <c r="H156" s="48" t="s">
        <v>43</v>
      </c>
      <c r="I156" s="105" t="s">
        <v>112</v>
      </c>
      <c r="J156" s="106" t="s">
        <v>24</v>
      </c>
      <c r="K156" s="45" t="s">
        <v>25</v>
      </c>
      <c r="L156" s="182"/>
    </row>
    <row r="157" spans="1:12" ht="27" x14ac:dyDescent="0.15">
      <c r="A157" s="182"/>
      <c r="B157" s="149"/>
      <c r="C157" s="66" t="s">
        <v>26</v>
      </c>
      <c r="D157" s="67">
        <v>0</v>
      </c>
      <c r="E157" s="67">
        <v>3</v>
      </c>
      <c r="F157" s="68" t="s">
        <v>47</v>
      </c>
      <c r="G157" s="69" t="str">
        <f>IF(D4="kg",MROUND(E8*0.8,2.5)&amp;"-"&amp;MROUND(E8*0.85,2.5),MROUND(E8*0.8,5)&amp;"-"&amp;MROUND(E8*0.85,5))</f>
        <v>325-345</v>
      </c>
      <c r="H157" s="69" t="s">
        <v>128</v>
      </c>
      <c r="I157" s="107">
        <v>44782</v>
      </c>
      <c r="J157" s="68" t="s">
        <v>24</v>
      </c>
      <c r="K157" s="66" t="s">
        <v>29</v>
      </c>
      <c r="L157" s="182"/>
    </row>
    <row r="158" spans="1:12" ht="54" x14ac:dyDescent="0.15">
      <c r="A158" s="182"/>
      <c r="B158" s="149"/>
      <c r="C158" s="60" t="s">
        <v>30</v>
      </c>
      <c r="D158" s="61">
        <v>3</v>
      </c>
      <c r="E158" s="61">
        <v>2</v>
      </c>
      <c r="F158" s="62" t="s">
        <v>31</v>
      </c>
      <c r="G158" s="63">
        <f>IF(D4="kg",MROUND(H8*0.7,2.5),MROUND(H8*0.7,5))</f>
        <v>157.5</v>
      </c>
      <c r="H158" s="64">
        <v>0.7</v>
      </c>
      <c r="I158" s="61">
        <v>6</v>
      </c>
      <c r="J158" s="62" t="s">
        <v>32</v>
      </c>
      <c r="K158" s="65" t="s">
        <v>33</v>
      </c>
      <c r="L158" s="182"/>
    </row>
    <row r="159" spans="1:12" ht="54" x14ac:dyDescent="0.15">
      <c r="A159" s="182"/>
      <c r="B159" s="149"/>
      <c r="C159" s="66" t="s">
        <v>34</v>
      </c>
      <c r="D159" s="67">
        <v>2</v>
      </c>
      <c r="E159" s="67">
        <v>2</v>
      </c>
      <c r="F159" s="68" t="s">
        <v>35</v>
      </c>
      <c r="G159" s="67"/>
      <c r="H159" s="67" t="s">
        <v>36</v>
      </c>
      <c r="I159" s="69">
        <v>6</v>
      </c>
      <c r="J159" s="67" t="s">
        <v>32</v>
      </c>
      <c r="K159" s="66" t="s">
        <v>37</v>
      </c>
      <c r="L159" s="182"/>
    </row>
    <row r="160" spans="1:12" ht="27" x14ac:dyDescent="0.15">
      <c r="A160" s="182"/>
      <c r="B160" s="150"/>
      <c r="C160" s="70" t="s">
        <v>38</v>
      </c>
      <c r="D160" s="71">
        <v>1</v>
      </c>
      <c r="E160" s="71">
        <v>3</v>
      </c>
      <c r="F160" s="72" t="s">
        <v>35</v>
      </c>
      <c r="G160" s="73"/>
      <c r="H160" s="71" t="s">
        <v>36</v>
      </c>
      <c r="I160" s="73">
        <v>9</v>
      </c>
      <c r="J160" s="74" t="s">
        <v>39</v>
      </c>
      <c r="K160" s="70" t="s">
        <v>40</v>
      </c>
      <c r="L160" s="182"/>
    </row>
    <row r="161" spans="1:12" ht="54" x14ac:dyDescent="0.15">
      <c r="A161" s="182"/>
      <c r="B161" s="148" t="s">
        <v>41</v>
      </c>
      <c r="C161" s="45" t="s">
        <v>42</v>
      </c>
      <c r="D161" s="48">
        <v>4</v>
      </c>
      <c r="E161" s="48">
        <v>1</v>
      </c>
      <c r="F161" s="47" t="s">
        <v>21</v>
      </c>
      <c r="G161" s="48" t="str">
        <f>IF(D4="kg",MROUND(F8*0.9,2.5)&amp;"-"&amp;MROUND(F8*0.95,2.5),MROUND(F8*0.9,5)&amp;"-"&amp;MROUND(F8*0.95,5))</f>
        <v>310-327.5</v>
      </c>
      <c r="H161" s="48" t="s">
        <v>118</v>
      </c>
      <c r="I161" s="46" t="s">
        <v>112</v>
      </c>
      <c r="J161" s="47" t="s">
        <v>24</v>
      </c>
      <c r="K161" s="45" t="s">
        <v>45</v>
      </c>
      <c r="L161" s="182"/>
    </row>
    <row r="162" spans="1:12" ht="54" x14ac:dyDescent="0.15">
      <c r="A162" s="182"/>
      <c r="B162" s="149"/>
      <c r="C162" s="75" t="s">
        <v>46</v>
      </c>
      <c r="D162" s="76">
        <v>0</v>
      </c>
      <c r="E162" s="76">
        <v>3</v>
      </c>
      <c r="F162" s="77" t="s">
        <v>106</v>
      </c>
      <c r="G162" s="76" t="str">
        <f>IF(D4="kg",MROUND(F8*0.875,2.5)&amp;"-"&amp;MROUND(F8*0.9,2.5),MROUND(F8*0.875,5)&amp;"-"&amp;MROUND(F8*0.9,5))</f>
        <v>302.5-310</v>
      </c>
      <c r="H162" s="76" t="s">
        <v>43</v>
      </c>
      <c r="I162" s="79">
        <v>44782</v>
      </c>
      <c r="J162" s="77" t="s">
        <v>24</v>
      </c>
      <c r="K162" s="65" t="s">
        <v>48</v>
      </c>
      <c r="L162" s="182"/>
    </row>
    <row r="163" spans="1:12" ht="27" x14ac:dyDescent="0.15">
      <c r="A163" s="182"/>
      <c r="B163" s="149"/>
      <c r="C163" s="75" t="s">
        <v>49</v>
      </c>
      <c r="D163" s="80">
        <v>1</v>
      </c>
      <c r="E163" s="80">
        <v>2</v>
      </c>
      <c r="F163" s="77" t="s">
        <v>50</v>
      </c>
      <c r="G163" s="76"/>
      <c r="H163" s="76" t="s">
        <v>36</v>
      </c>
      <c r="I163" s="80">
        <v>8</v>
      </c>
      <c r="J163" s="77" t="s">
        <v>39</v>
      </c>
      <c r="K163" s="65" t="s">
        <v>51</v>
      </c>
      <c r="L163" s="182"/>
    </row>
    <row r="164" spans="1:12" ht="54" x14ac:dyDescent="0.15">
      <c r="A164" s="182"/>
      <c r="B164" s="149"/>
      <c r="C164" s="75" t="s">
        <v>52</v>
      </c>
      <c r="D164" s="80">
        <v>1</v>
      </c>
      <c r="E164" s="80">
        <v>4</v>
      </c>
      <c r="F164" s="77" t="s">
        <v>53</v>
      </c>
      <c r="G164" s="76"/>
      <c r="H164" s="76" t="s">
        <v>36</v>
      </c>
      <c r="I164" s="80">
        <v>10</v>
      </c>
      <c r="J164" s="77" t="s">
        <v>39</v>
      </c>
      <c r="K164" s="65" t="s">
        <v>54</v>
      </c>
      <c r="L164" s="182"/>
    </row>
    <row r="165" spans="1:12" ht="27" x14ac:dyDescent="0.15">
      <c r="A165" s="182"/>
      <c r="B165" s="149"/>
      <c r="C165" s="81" t="s">
        <v>55</v>
      </c>
      <c r="D165" s="67">
        <v>0</v>
      </c>
      <c r="E165" s="67">
        <v>2</v>
      </c>
      <c r="F165" s="68" t="s">
        <v>56</v>
      </c>
      <c r="G165" s="82"/>
      <c r="H165" s="68" t="s">
        <v>36</v>
      </c>
      <c r="I165" s="67">
        <v>9</v>
      </c>
      <c r="J165" s="68" t="s">
        <v>39</v>
      </c>
      <c r="K165" s="65" t="s">
        <v>57</v>
      </c>
      <c r="L165" s="182"/>
    </row>
    <row r="166" spans="1:12" ht="27" x14ac:dyDescent="0.15">
      <c r="A166" s="182"/>
      <c r="B166" s="149"/>
      <c r="C166" s="75" t="s">
        <v>58</v>
      </c>
      <c r="D166" s="80">
        <v>1</v>
      </c>
      <c r="E166" s="80">
        <v>2</v>
      </c>
      <c r="F166" s="77" t="s">
        <v>50</v>
      </c>
      <c r="G166" s="80"/>
      <c r="H166" s="77" t="s">
        <v>36</v>
      </c>
      <c r="I166" s="77" t="s">
        <v>100</v>
      </c>
      <c r="J166" s="83" t="s">
        <v>39</v>
      </c>
      <c r="K166" s="65" t="s">
        <v>60</v>
      </c>
      <c r="L166" s="182"/>
    </row>
    <row r="167" spans="1:12" ht="54" x14ac:dyDescent="0.15">
      <c r="A167" s="182"/>
      <c r="B167" s="150"/>
      <c r="C167" s="84" t="s">
        <v>61</v>
      </c>
      <c r="D167" s="26">
        <v>0</v>
      </c>
      <c r="E167" s="26">
        <v>2</v>
      </c>
      <c r="F167" s="85" t="s">
        <v>53</v>
      </c>
      <c r="G167" s="86"/>
      <c r="H167" s="87" t="s">
        <v>36</v>
      </c>
      <c r="I167" s="26">
        <v>8</v>
      </c>
      <c r="J167" s="85" t="s">
        <v>39</v>
      </c>
      <c r="K167" s="12" t="s">
        <v>62</v>
      </c>
      <c r="L167" s="182"/>
    </row>
    <row r="168" spans="1:12" ht="54" x14ac:dyDescent="0.15">
      <c r="A168" s="182"/>
      <c r="B168" s="157" t="s">
        <v>63</v>
      </c>
      <c r="C168" s="108" t="s">
        <v>101</v>
      </c>
      <c r="D168" s="109">
        <v>3</v>
      </c>
      <c r="E168" s="109">
        <v>2</v>
      </c>
      <c r="F168" s="110" t="s">
        <v>31</v>
      </c>
      <c r="G168" s="111"/>
      <c r="H168" s="109" t="s">
        <v>36</v>
      </c>
      <c r="I168" s="109">
        <v>6</v>
      </c>
      <c r="J168" s="110" t="s">
        <v>65</v>
      </c>
      <c r="K168" s="66" t="s">
        <v>102</v>
      </c>
      <c r="L168" s="182"/>
    </row>
    <row r="169" spans="1:12" ht="54" x14ac:dyDescent="0.15">
      <c r="A169" s="182"/>
      <c r="B169" s="149"/>
      <c r="C169" s="75" t="s">
        <v>103</v>
      </c>
      <c r="D169" s="80">
        <v>3</v>
      </c>
      <c r="E169" s="80">
        <v>2</v>
      </c>
      <c r="F169" s="77" t="s">
        <v>31</v>
      </c>
      <c r="G169" s="92" t="str">
        <f>IF(D4="kg",MROUND(F8*0.7,2.5)&amp;"-"&amp;MROUND(F8*0.8,2.5),MROUND(F8*0.7,5)&amp;"-"&amp;MROUND(F8*0.8,5))</f>
        <v>242.5-275</v>
      </c>
      <c r="H169" s="76" t="s">
        <v>129</v>
      </c>
      <c r="I169" s="80">
        <v>6</v>
      </c>
      <c r="J169" s="77" t="s">
        <v>65</v>
      </c>
      <c r="K169" s="65" t="s">
        <v>105</v>
      </c>
      <c r="L169" s="182"/>
    </row>
    <row r="170" spans="1:12" ht="27" x14ac:dyDescent="0.15">
      <c r="A170" s="182"/>
      <c r="B170" s="149"/>
      <c r="C170" s="81" t="s">
        <v>69</v>
      </c>
      <c r="D170" s="67">
        <v>1</v>
      </c>
      <c r="E170" s="67">
        <v>3</v>
      </c>
      <c r="F170" s="68" t="s">
        <v>53</v>
      </c>
      <c r="G170" s="112"/>
      <c r="H170" s="67" t="s">
        <v>36</v>
      </c>
      <c r="I170" s="69">
        <v>9</v>
      </c>
      <c r="J170" s="67" t="s">
        <v>32</v>
      </c>
      <c r="K170" s="66" t="s">
        <v>70</v>
      </c>
      <c r="L170" s="182"/>
    </row>
    <row r="171" spans="1:12" ht="27" x14ac:dyDescent="0.15">
      <c r="A171" s="182"/>
      <c r="B171" s="150"/>
      <c r="C171" s="75" t="s">
        <v>71</v>
      </c>
      <c r="D171" s="80">
        <v>1</v>
      </c>
      <c r="E171" s="80">
        <v>2</v>
      </c>
      <c r="F171" s="77" t="s">
        <v>35</v>
      </c>
      <c r="G171" s="92"/>
      <c r="H171" s="76" t="s">
        <v>36</v>
      </c>
      <c r="I171" s="80">
        <v>10</v>
      </c>
      <c r="J171" s="77" t="s">
        <v>39</v>
      </c>
      <c r="K171" s="65" t="s">
        <v>72</v>
      </c>
      <c r="L171" s="182"/>
    </row>
    <row r="172" spans="1:12" ht="26.25" customHeight="1" x14ac:dyDescent="0.15">
      <c r="A172" s="182"/>
      <c r="B172" s="158" t="s">
        <v>73</v>
      </c>
      <c r="C172" s="159"/>
      <c r="D172" s="159"/>
      <c r="E172" s="159"/>
      <c r="F172" s="159"/>
      <c r="G172" s="159"/>
      <c r="H172" s="159"/>
      <c r="I172" s="159"/>
      <c r="J172" s="159"/>
      <c r="K172" s="160"/>
      <c r="L172" s="182"/>
    </row>
    <row r="173" spans="1:12" ht="27" x14ac:dyDescent="0.15">
      <c r="A173" s="182"/>
      <c r="B173" s="148" t="s">
        <v>74</v>
      </c>
      <c r="C173" s="94" t="s">
        <v>75</v>
      </c>
      <c r="D173" s="95">
        <v>4</v>
      </c>
      <c r="E173" s="95">
        <v>1</v>
      </c>
      <c r="F173" s="96" t="s">
        <v>106</v>
      </c>
      <c r="G173" s="95" t="str">
        <f>IF(D4="kg",MROUND(G8*0.925,2.5)&amp;"-"&amp;MROUND(G8*0.95,2.5),MROUND(G8*0.925,5)&amp;"-"&amp;MROUND(G8*0.95,5))</f>
        <v>462.5-475</v>
      </c>
      <c r="H173" s="95" t="s">
        <v>120</v>
      </c>
      <c r="I173" s="98">
        <v>44782</v>
      </c>
      <c r="J173" s="96" t="s">
        <v>24</v>
      </c>
      <c r="K173" s="99" t="s">
        <v>77</v>
      </c>
      <c r="L173" s="182"/>
    </row>
    <row r="174" spans="1:12" ht="54" x14ac:dyDescent="0.15">
      <c r="A174" s="182"/>
      <c r="B174" s="149"/>
      <c r="C174" s="75" t="s">
        <v>107</v>
      </c>
      <c r="D174" s="80">
        <v>0</v>
      </c>
      <c r="E174" s="80">
        <v>2</v>
      </c>
      <c r="F174" s="77" t="s">
        <v>31</v>
      </c>
      <c r="G174" s="76" t="str">
        <f>IF(D4="kg",MROUND(G8*0.65,2.5)&amp;"-"&amp;MROUND(G8*0.75,2.5),MROUND(G8*0.65,5)&amp;"-"&amp;MROUND(G8*0.75,5))</f>
        <v>325-375</v>
      </c>
      <c r="H174" s="76" t="s">
        <v>121</v>
      </c>
      <c r="I174" s="80">
        <v>7</v>
      </c>
      <c r="J174" s="77" t="s">
        <v>65</v>
      </c>
      <c r="K174" s="65" t="s">
        <v>109</v>
      </c>
      <c r="L174" s="182"/>
    </row>
    <row r="175" spans="1:12" ht="54" x14ac:dyDescent="0.15">
      <c r="A175" s="182"/>
      <c r="B175" s="149"/>
      <c r="C175" s="75" t="s">
        <v>80</v>
      </c>
      <c r="D175" s="80">
        <v>0</v>
      </c>
      <c r="E175" s="80">
        <v>3</v>
      </c>
      <c r="F175" s="77" t="s">
        <v>56</v>
      </c>
      <c r="G175" s="76"/>
      <c r="H175" s="76" t="s">
        <v>36</v>
      </c>
      <c r="I175" s="80">
        <v>9</v>
      </c>
      <c r="J175" s="77" t="s">
        <v>39</v>
      </c>
      <c r="K175" s="65" t="s">
        <v>81</v>
      </c>
      <c r="L175" s="182"/>
    </row>
    <row r="176" spans="1:12" ht="27" x14ac:dyDescent="0.15">
      <c r="A176" s="182"/>
      <c r="B176" s="149"/>
      <c r="C176" s="81" t="s">
        <v>82</v>
      </c>
      <c r="D176" s="67">
        <v>1</v>
      </c>
      <c r="E176" s="67">
        <v>3</v>
      </c>
      <c r="F176" s="68" t="s">
        <v>56</v>
      </c>
      <c r="G176" s="82"/>
      <c r="H176" s="68" t="s">
        <v>36</v>
      </c>
      <c r="I176" s="67">
        <v>9</v>
      </c>
      <c r="J176" s="68" t="s">
        <v>39</v>
      </c>
      <c r="K176" s="65" t="s">
        <v>83</v>
      </c>
      <c r="L176" s="182"/>
    </row>
    <row r="177" spans="1:12" ht="54" x14ac:dyDescent="0.15">
      <c r="A177" s="182"/>
      <c r="B177" s="149"/>
      <c r="C177" s="81" t="s">
        <v>84</v>
      </c>
      <c r="D177" s="80">
        <v>1</v>
      </c>
      <c r="E177" s="80">
        <v>2</v>
      </c>
      <c r="F177" s="77" t="s">
        <v>56</v>
      </c>
      <c r="G177" s="80"/>
      <c r="H177" s="77" t="s">
        <v>36</v>
      </c>
      <c r="I177" s="77" t="s">
        <v>85</v>
      </c>
      <c r="J177" s="83" t="s">
        <v>39</v>
      </c>
      <c r="K177" s="65" t="s">
        <v>86</v>
      </c>
      <c r="L177" s="182"/>
    </row>
    <row r="178" spans="1:12" ht="27" x14ac:dyDescent="0.15">
      <c r="A178" s="182"/>
      <c r="B178" s="150"/>
      <c r="C178" s="84" t="s">
        <v>87</v>
      </c>
      <c r="D178" s="26">
        <v>1</v>
      </c>
      <c r="E178" s="26">
        <v>3</v>
      </c>
      <c r="F178" s="85" t="s">
        <v>35</v>
      </c>
      <c r="G178" s="86"/>
      <c r="H178" s="87" t="s">
        <v>36</v>
      </c>
      <c r="I178" s="26">
        <v>9</v>
      </c>
      <c r="J178" s="85" t="s">
        <v>39</v>
      </c>
      <c r="K178" s="12" t="s">
        <v>88</v>
      </c>
      <c r="L178" s="182"/>
    </row>
    <row r="179" spans="1:12" ht="27" x14ac:dyDescent="0.15">
      <c r="A179" s="182"/>
      <c r="B179" s="148" t="s">
        <v>89</v>
      </c>
      <c r="C179" s="102" t="s">
        <v>26</v>
      </c>
      <c r="D179" s="103">
        <v>4</v>
      </c>
      <c r="E179" s="63">
        <v>3</v>
      </c>
      <c r="F179" s="62" t="s">
        <v>76</v>
      </c>
      <c r="G179" s="63">
        <f>IF(D4="kg",MROUND(E8*0.775,2.5),MROUND(E8*0.775,5))</f>
        <v>315</v>
      </c>
      <c r="H179" s="62" t="s">
        <v>116</v>
      </c>
      <c r="I179" s="104">
        <v>44750</v>
      </c>
      <c r="J179" s="62" t="s">
        <v>24</v>
      </c>
      <c r="K179" s="60" t="s">
        <v>29</v>
      </c>
      <c r="L179" s="182"/>
    </row>
    <row r="180" spans="1:12" ht="54" x14ac:dyDescent="0.15">
      <c r="A180" s="182"/>
      <c r="B180" s="149"/>
      <c r="C180" s="60" t="s">
        <v>46</v>
      </c>
      <c r="D180" s="63">
        <v>4</v>
      </c>
      <c r="E180" s="63">
        <v>3</v>
      </c>
      <c r="F180" s="62" t="s">
        <v>27</v>
      </c>
      <c r="G180" s="63">
        <f>IF(D4="kg",MROUND(F8*0.775,2.5),MROUND(F8*0.775,5))</f>
        <v>267.5</v>
      </c>
      <c r="H180" s="62" t="s">
        <v>116</v>
      </c>
      <c r="I180" s="104">
        <v>44750</v>
      </c>
      <c r="J180" s="62" t="s">
        <v>24</v>
      </c>
      <c r="K180" s="60" t="s">
        <v>48</v>
      </c>
      <c r="L180" s="182"/>
    </row>
    <row r="181" spans="1:12" ht="27" x14ac:dyDescent="0.15">
      <c r="A181" s="182"/>
      <c r="B181" s="149"/>
      <c r="C181" s="66" t="s">
        <v>93</v>
      </c>
      <c r="D181" s="69">
        <v>1</v>
      </c>
      <c r="E181" s="69">
        <v>2</v>
      </c>
      <c r="F181" s="68" t="s">
        <v>50</v>
      </c>
      <c r="G181" s="69"/>
      <c r="H181" s="68" t="s">
        <v>36</v>
      </c>
      <c r="I181" s="69">
        <v>8</v>
      </c>
      <c r="J181" s="68" t="s">
        <v>32</v>
      </c>
      <c r="K181" s="65" t="s">
        <v>94</v>
      </c>
      <c r="L181" s="182"/>
    </row>
    <row r="182" spans="1:12" ht="54" x14ac:dyDescent="0.15">
      <c r="A182" s="182"/>
      <c r="B182" s="150"/>
      <c r="C182" s="66" t="s">
        <v>95</v>
      </c>
      <c r="D182" s="76">
        <v>0</v>
      </c>
      <c r="E182" s="76">
        <v>2</v>
      </c>
      <c r="F182" s="77" t="s">
        <v>96</v>
      </c>
      <c r="G182" s="76"/>
      <c r="H182" s="77" t="s">
        <v>36</v>
      </c>
      <c r="I182" s="76">
        <v>8</v>
      </c>
      <c r="J182" s="77" t="s">
        <v>39</v>
      </c>
      <c r="K182" s="66" t="s">
        <v>97</v>
      </c>
      <c r="L182" s="182"/>
    </row>
    <row r="183" spans="1:12" ht="27" customHeight="1" x14ac:dyDescent="0.15">
      <c r="A183" s="182"/>
      <c r="B183" s="158" t="s">
        <v>73</v>
      </c>
      <c r="C183" s="159"/>
      <c r="D183" s="159"/>
      <c r="E183" s="159"/>
      <c r="F183" s="159"/>
      <c r="G183" s="159"/>
      <c r="H183" s="159"/>
      <c r="I183" s="159"/>
      <c r="J183" s="159"/>
      <c r="K183" s="160"/>
      <c r="L183" s="182"/>
    </row>
    <row r="184" spans="1:12" ht="22" x14ac:dyDescent="0.15">
      <c r="A184" s="182"/>
      <c r="B184" s="33" t="s">
        <v>130</v>
      </c>
      <c r="C184" s="33" t="s">
        <v>10</v>
      </c>
      <c r="D184" s="33" t="s">
        <v>11</v>
      </c>
      <c r="E184" s="33" t="s">
        <v>12</v>
      </c>
      <c r="F184" s="34" t="s">
        <v>13</v>
      </c>
      <c r="G184" s="33" t="s">
        <v>14</v>
      </c>
      <c r="H184" s="34" t="s">
        <v>15</v>
      </c>
      <c r="I184" s="34" t="s">
        <v>16</v>
      </c>
      <c r="J184" s="34" t="s">
        <v>17</v>
      </c>
      <c r="K184" s="35" t="s">
        <v>18</v>
      </c>
      <c r="L184" s="182"/>
    </row>
    <row r="185" spans="1:12" ht="27" x14ac:dyDescent="0.15">
      <c r="A185" s="182"/>
      <c r="B185" s="148" t="s">
        <v>19</v>
      </c>
      <c r="C185" s="45" t="s">
        <v>20</v>
      </c>
      <c r="D185" s="46">
        <v>4</v>
      </c>
      <c r="E185" s="46">
        <v>1</v>
      </c>
      <c r="F185" s="47" t="s">
        <v>21</v>
      </c>
      <c r="G185" s="105" t="str">
        <f>IF(D4="kg",MROUND(E8*0.9,2.5)&amp;"-"&amp;MROUND(E8*0.925,2.5),MROUND(E8*0.9,5)&amp;"-"&amp;MROUND(E8*0.925,5))</f>
        <v>365-375</v>
      </c>
      <c r="H185" s="48" t="s">
        <v>114</v>
      </c>
      <c r="I185" s="48" t="s">
        <v>131</v>
      </c>
      <c r="J185" s="47" t="s">
        <v>24</v>
      </c>
      <c r="K185" s="45" t="s">
        <v>25</v>
      </c>
      <c r="L185" s="182"/>
    </row>
    <row r="186" spans="1:12" ht="27" x14ac:dyDescent="0.15">
      <c r="A186" s="182"/>
      <c r="B186" s="149"/>
      <c r="C186" s="66" t="s">
        <v>26</v>
      </c>
      <c r="D186" s="67">
        <v>0</v>
      </c>
      <c r="E186" s="67">
        <v>2</v>
      </c>
      <c r="F186" s="68" t="s">
        <v>47</v>
      </c>
      <c r="G186" s="69" t="str">
        <f>IF(D4="kg",MROUND(E8*0.825,2.5)&amp;"-"&amp;MROUND(E8*0.875,2.5),MROUND(E8*0.825,5)&amp;"-"&amp;MROUND(E8*0.875,5))</f>
        <v>335-355</v>
      </c>
      <c r="H186" s="69" t="s">
        <v>132</v>
      </c>
      <c r="I186" s="107">
        <v>44782</v>
      </c>
      <c r="J186" s="68" t="s">
        <v>24</v>
      </c>
      <c r="K186" s="66" t="s">
        <v>29</v>
      </c>
      <c r="L186" s="182"/>
    </row>
    <row r="187" spans="1:12" ht="54" x14ac:dyDescent="0.15">
      <c r="A187" s="182"/>
      <c r="B187" s="149"/>
      <c r="C187" s="60" t="s">
        <v>30</v>
      </c>
      <c r="D187" s="61">
        <v>3</v>
      </c>
      <c r="E187" s="61">
        <v>2</v>
      </c>
      <c r="F187" s="62" t="s">
        <v>31</v>
      </c>
      <c r="G187" s="63">
        <f>IF(D4="kg",MROUND(H8*0.7,2.5),MROUND(H8*0.7,5))</f>
        <v>157.5</v>
      </c>
      <c r="H187" s="64">
        <v>0.7</v>
      </c>
      <c r="I187" s="61">
        <v>6</v>
      </c>
      <c r="J187" s="62" t="s">
        <v>32</v>
      </c>
      <c r="K187" s="65" t="s">
        <v>33</v>
      </c>
      <c r="L187" s="182"/>
    </row>
    <row r="188" spans="1:12" ht="54" x14ac:dyDescent="0.15">
      <c r="A188" s="182"/>
      <c r="B188" s="149"/>
      <c r="C188" s="66" t="s">
        <v>34</v>
      </c>
      <c r="D188" s="67">
        <v>2</v>
      </c>
      <c r="E188" s="67">
        <v>1</v>
      </c>
      <c r="F188" s="68" t="s">
        <v>35</v>
      </c>
      <c r="G188" s="67"/>
      <c r="H188" s="67" t="s">
        <v>36</v>
      </c>
      <c r="I188" s="69">
        <v>6</v>
      </c>
      <c r="J188" s="67" t="s">
        <v>32</v>
      </c>
      <c r="K188" s="66" t="s">
        <v>37</v>
      </c>
      <c r="L188" s="182"/>
    </row>
    <row r="189" spans="1:12" ht="27" x14ac:dyDescent="0.15">
      <c r="A189" s="182"/>
      <c r="B189" s="150"/>
      <c r="C189" s="70" t="s">
        <v>38</v>
      </c>
      <c r="D189" s="71">
        <v>1</v>
      </c>
      <c r="E189" s="71">
        <v>3</v>
      </c>
      <c r="F189" s="72" t="s">
        <v>35</v>
      </c>
      <c r="G189" s="73"/>
      <c r="H189" s="71" t="s">
        <v>36</v>
      </c>
      <c r="I189" s="73">
        <v>9</v>
      </c>
      <c r="J189" s="74" t="s">
        <v>39</v>
      </c>
      <c r="K189" s="70" t="s">
        <v>40</v>
      </c>
      <c r="L189" s="182"/>
    </row>
    <row r="190" spans="1:12" ht="54" x14ac:dyDescent="0.15">
      <c r="A190" s="182"/>
      <c r="B190" s="148" t="s">
        <v>41</v>
      </c>
      <c r="C190" s="45" t="s">
        <v>42</v>
      </c>
      <c r="D190" s="48">
        <v>4</v>
      </c>
      <c r="E190" s="48">
        <v>1</v>
      </c>
      <c r="F190" s="47" t="s">
        <v>21</v>
      </c>
      <c r="G190" s="48" t="str">
        <f>IF(D4="kg",MROUND(F8*0.925,2.5)&amp;"-"&amp;MROUND(F8*0.975,2.5),MROUND(F8*0.925,5)&amp;"-"&amp;MROUND(F8*0.975,5))</f>
        <v>320-337.5</v>
      </c>
      <c r="H190" s="48" t="s">
        <v>133</v>
      </c>
      <c r="I190" s="46" t="s">
        <v>131</v>
      </c>
      <c r="J190" s="47" t="s">
        <v>24</v>
      </c>
      <c r="K190" s="45" t="s">
        <v>45</v>
      </c>
      <c r="L190" s="182"/>
    </row>
    <row r="191" spans="1:12" ht="54" x14ac:dyDescent="0.15">
      <c r="A191" s="182"/>
      <c r="B191" s="149"/>
      <c r="C191" s="17" t="s">
        <v>46</v>
      </c>
      <c r="D191" s="76">
        <v>0</v>
      </c>
      <c r="E191" s="76">
        <v>3</v>
      </c>
      <c r="F191" s="77" t="s">
        <v>21</v>
      </c>
      <c r="G191" s="76" t="str">
        <f>IF(D4="kg",MROUND(F8*0.9,2.5)&amp;"-"&amp;MROUND(F8*0.95,2.5),MROUND(F8*0.9,5)&amp;"-"&amp;MROUND(F8*0.95,5))</f>
        <v>310-327.5</v>
      </c>
      <c r="H191" s="76" t="s">
        <v>118</v>
      </c>
      <c r="I191" s="79">
        <v>44782</v>
      </c>
      <c r="J191" s="77" t="s">
        <v>24</v>
      </c>
      <c r="K191" s="65" t="s">
        <v>48</v>
      </c>
      <c r="L191" s="182"/>
    </row>
    <row r="192" spans="1:12" ht="27" x14ac:dyDescent="0.15">
      <c r="A192" s="182"/>
      <c r="B192" s="149"/>
      <c r="C192" s="75" t="s">
        <v>49</v>
      </c>
      <c r="D192" s="80">
        <v>1</v>
      </c>
      <c r="E192" s="80">
        <v>2</v>
      </c>
      <c r="F192" s="77" t="s">
        <v>50</v>
      </c>
      <c r="G192" s="76"/>
      <c r="H192" s="76" t="s">
        <v>36</v>
      </c>
      <c r="I192" s="80">
        <v>8</v>
      </c>
      <c r="J192" s="77" t="s">
        <v>39</v>
      </c>
      <c r="K192" s="65" t="s">
        <v>51</v>
      </c>
      <c r="L192" s="182"/>
    </row>
    <row r="193" spans="1:12" ht="54" x14ac:dyDescent="0.15">
      <c r="A193" s="182"/>
      <c r="B193" s="149"/>
      <c r="C193" s="75" t="s">
        <v>52</v>
      </c>
      <c r="D193" s="80">
        <v>1</v>
      </c>
      <c r="E193" s="80">
        <v>3</v>
      </c>
      <c r="F193" s="77" t="s">
        <v>53</v>
      </c>
      <c r="G193" s="76"/>
      <c r="H193" s="76" t="s">
        <v>36</v>
      </c>
      <c r="I193" s="80">
        <v>10</v>
      </c>
      <c r="J193" s="77" t="s">
        <v>39</v>
      </c>
      <c r="K193" s="65" t="s">
        <v>54</v>
      </c>
      <c r="L193" s="182"/>
    </row>
    <row r="194" spans="1:12" ht="27" x14ac:dyDescent="0.15">
      <c r="A194" s="182"/>
      <c r="B194" s="149"/>
      <c r="C194" s="81" t="s">
        <v>55</v>
      </c>
      <c r="D194" s="67">
        <v>0</v>
      </c>
      <c r="E194" s="67">
        <v>2</v>
      </c>
      <c r="F194" s="68" t="s">
        <v>56</v>
      </c>
      <c r="G194" s="82"/>
      <c r="H194" s="68" t="s">
        <v>36</v>
      </c>
      <c r="I194" s="67">
        <v>9</v>
      </c>
      <c r="J194" s="68" t="s">
        <v>39</v>
      </c>
      <c r="K194" s="65" t="s">
        <v>57</v>
      </c>
      <c r="L194" s="182"/>
    </row>
    <row r="195" spans="1:12" ht="27" x14ac:dyDescent="0.15">
      <c r="A195" s="182"/>
      <c r="B195" s="149"/>
      <c r="C195" s="75" t="s">
        <v>58</v>
      </c>
      <c r="D195" s="80">
        <v>1</v>
      </c>
      <c r="E195" s="80">
        <v>2</v>
      </c>
      <c r="F195" s="77" t="s">
        <v>50</v>
      </c>
      <c r="G195" s="80"/>
      <c r="H195" s="77" t="s">
        <v>36</v>
      </c>
      <c r="I195" s="77" t="s">
        <v>100</v>
      </c>
      <c r="J195" s="83" t="s">
        <v>39</v>
      </c>
      <c r="K195" s="65" t="s">
        <v>60</v>
      </c>
      <c r="L195" s="182"/>
    </row>
    <row r="196" spans="1:12" ht="54" x14ac:dyDescent="0.15">
      <c r="A196" s="182"/>
      <c r="B196" s="150"/>
      <c r="C196" s="84" t="s">
        <v>61</v>
      </c>
      <c r="D196" s="26">
        <v>0</v>
      </c>
      <c r="E196" s="26">
        <v>2</v>
      </c>
      <c r="F196" s="85" t="s">
        <v>53</v>
      </c>
      <c r="G196" s="86"/>
      <c r="H196" s="87" t="s">
        <v>36</v>
      </c>
      <c r="I196" s="26">
        <v>8</v>
      </c>
      <c r="J196" s="85" t="s">
        <v>39</v>
      </c>
      <c r="K196" s="12" t="s">
        <v>62</v>
      </c>
      <c r="L196" s="182"/>
    </row>
    <row r="197" spans="1:12" ht="54" x14ac:dyDescent="0.15">
      <c r="A197" s="182"/>
      <c r="B197" s="157" t="s">
        <v>63</v>
      </c>
      <c r="C197" s="108" t="s">
        <v>64</v>
      </c>
      <c r="D197" s="109">
        <v>3</v>
      </c>
      <c r="E197" s="109">
        <v>2</v>
      </c>
      <c r="F197" s="110" t="s">
        <v>31</v>
      </c>
      <c r="G197" s="111"/>
      <c r="H197" s="109" t="s">
        <v>36</v>
      </c>
      <c r="I197" s="109">
        <v>6</v>
      </c>
      <c r="J197" s="110" t="s">
        <v>65</v>
      </c>
      <c r="K197" s="118" t="s">
        <v>66</v>
      </c>
      <c r="L197" s="182"/>
    </row>
    <row r="198" spans="1:12" ht="27" x14ac:dyDescent="0.15">
      <c r="A198" s="182"/>
      <c r="B198" s="149"/>
      <c r="C198" s="75" t="s">
        <v>67</v>
      </c>
      <c r="D198" s="80">
        <v>3</v>
      </c>
      <c r="E198" s="80">
        <v>2</v>
      </c>
      <c r="F198" s="77" t="s">
        <v>31</v>
      </c>
      <c r="G198" s="92"/>
      <c r="H198" s="76" t="s">
        <v>36</v>
      </c>
      <c r="I198" s="80">
        <v>6</v>
      </c>
      <c r="J198" s="77" t="s">
        <v>65</v>
      </c>
      <c r="K198" s="65" t="s">
        <v>68</v>
      </c>
      <c r="L198" s="182"/>
    </row>
    <row r="199" spans="1:12" ht="27" x14ac:dyDescent="0.15">
      <c r="A199" s="182"/>
      <c r="B199" s="149"/>
      <c r="C199" s="81" t="s">
        <v>69</v>
      </c>
      <c r="D199" s="67">
        <v>1</v>
      </c>
      <c r="E199" s="67">
        <v>3</v>
      </c>
      <c r="F199" s="68" t="s">
        <v>53</v>
      </c>
      <c r="G199" s="112"/>
      <c r="H199" s="67" t="s">
        <v>36</v>
      </c>
      <c r="I199" s="69">
        <v>9</v>
      </c>
      <c r="J199" s="67" t="s">
        <v>32</v>
      </c>
      <c r="K199" s="66" t="s">
        <v>70</v>
      </c>
      <c r="L199" s="182"/>
    </row>
    <row r="200" spans="1:12" ht="27" x14ac:dyDescent="0.15">
      <c r="A200" s="182"/>
      <c r="B200" s="150"/>
      <c r="C200" s="75" t="s">
        <v>71</v>
      </c>
      <c r="D200" s="80">
        <v>1</v>
      </c>
      <c r="E200" s="80">
        <v>2</v>
      </c>
      <c r="F200" s="77" t="s">
        <v>35</v>
      </c>
      <c r="G200" s="92"/>
      <c r="H200" s="76" t="s">
        <v>36</v>
      </c>
      <c r="I200" s="80">
        <v>10</v>
      </c>
      <c r="J200" s="77" t="s">
        <v>39</v>
      </c>
      <c r="K200" s="65" t="s">
        <v>72</v>
      </c>
      <c r="L200" s="182"/>
    </row>
    <row r="201" spans="1:12" ht="26.25" customHeight="1" x14ac:dyDescent="0.15">
      <c r="A201" s="182"/>
      <c r="B201" s="158" t="s">
        <v>73</v>
      </c>
      <c r="C201" s="159"/>
      <c r="D201" s="159"/>
      <c r="E201" s="159"/>
      <c r="F201" s="159"/>
      <c r="G201" s="159"/>
      <c r="H201" s="159"/>
      <c r="I201" s="159"/>
      <c r="J201" s="159"/>
      <c r="K201" s="160"/>
      <c r="L201" s="182"/>
    </row>
    <row r="202" spans="1:12" ht="27" x14ac:dyDescent="0.15">
      <c r="A202" s="182"/>
      <c r="B202" s="148" t="s">
        <v>74</v>
      </c>
      <c r="C202" s="94" t="s">
        <v>75</v>
      </c>
      <c r="D202" s="95">
        <v>4</v>
      </c>
      <c r="E202" s="95">
        <v>1</v>
      </c>
      <c r="F202" s="96" t="s">
        <v>47</v>
      </c>
      <c r="G202" s="95" t="str">
        <f>IF(D4="kg",MROUND(G8*0.9,2.5)&amp;"-"&amp;MROUND(G8*0.95,2.5),MROUND(G8*0.9,5)&amp;"-"&amp;MROUND(G8*0.95,5))</f>
        <v>450-475</v>
      </c>
      <c r="H202" s="95" t="s">
        <v>114</v>
      </c>
      <c r="I202" s="95" t="s">
        <v>134</v>
      </c>
      <c r="J202" s="96" t="s">
        <v>24</v>
      </c>
      <c r="K202" s="99" t="s">
        <v>77</v>
      </c>
      <c r="L202" s="182"/>
    </row>
    <row r="203" spans="1:12" ht="27" x14ac:dyDescent="0.15">
      <c r="A203" s="182"/>
      <c r="B203" s="149"/>
      <c r="C203" s="75" t="s">
        <v>78</v>
      </c>
      <c r="D203" s="80">
        <v>0</v>
      </c>
      <c r="E203" s="80">
        <v>2</v>
      </c>
      <c r="F203" s="77" t="s">
        <v>76</v>
      </c>
      <c r="G203" s="76">
        <f>IF(D4="kg",MROUND(G8*0.725,2.5),MROUND(G8*0.725,5))</f>
        <v>362.5</v>
      </c>
      <c r="H203" s="78">
        <v>0.72499999999999998</v>
      </c>
      <c r="I203" s="80">
        <v>7</v>
      </c>
      <c r="J203" s="77" t="s">
        <v>65</v>
      </c>
      <c r="K203" s="65" t="s">
        <v>79</v>
      </c>
      <c r="L203" s="182"/>
    </row>
    <row r="204" spans="1:12" ht="54" x14ac:dyDescent="0.15">
      <c r="A204" s="182"/>
      <c r="B204" s="149"/>
      <c r="C204" s="81" t="s">
        <v>80</v>
      </c>
      <c r="D204" s="67">
        <v>0</v>
      </c>
      <c r="E204" s="67">
        <v>3</v>
      </c>
      <c r="F204" s="68" t="s">
        <v>56</v>
      </c>
      <c r="G204" s="69"/>
      <c r="H204" s="69" t="s">
        <v>36</v>
      </c>
      <c r="I204" s="67">
        <v>9</v>
      </c>
      <c r="J204" s="68" t="s">
        <v>39</v>
      </c>
      <c r="K204" s="66" t="s">
        <v>81</v>
      </c>
      <c r="L204" s="182"/>
    </row>
    <row r="205" spans="1:12" ht="27" x14ac:dyDescent="0.15">
      <c r="A205" s="182"/>
      <c r="B205" s="149"/>
      <c r="C205" s="75" t="s">
        <v>82</v>
      </c>
      <c r="D205" s="80">
        <v>1</v>
      </c>
      <c r="E205" s="80">
        <v>3</v>
      </c>
      <c r="F205" s="77" t="s">
        <v>56</v>
      </c>
      <c r="G205" s="92"/>
      <c r="H205" s="77" t="s">
        <v>36</v>
      </c>
      <c r="I205" s="80">
        <v>9</v>
      </c>
      <c r="J205" s="77" t="s">
        <v>39</v>
      </c>
      <c r="K205" s="65" t="s">
        <v>83</v>
      </c>
      <c r="L205" s="182"/>
    </row>
    <row r="206" spans="1:12" ht="54" x14ac:dyDescent="0.15">
      <c r="A206" s="182"/>
      <c r="B206" s="149"/>
      <c r="C206" s="81" t="s">
        <v>84</v>
      </c>
      <c r="D206" s="67">
        <v>1</v>
      </c>
      <c r="E206" s="67">
        <v>2</v>
      </c>
      <c r="F206" s="68" t="s">
        <v>56</v>
      </c>
      <c r="G206" s="67"/>
      <c r="H206" s="68" t="s">
        <v>36</v>
      </c>
      <c r="I206" s="68" t="s">
        <v>85</v>
      </c>
      <c r="J206" s="115" t="s">
        <v>39</v>
      </c>
      <c r="K206" s="66" t="s">
        <v>86</v>
      </c>
      <c r="L206" s="182"/>
    </row>
    <row r="207" spans="1:12" ht="27" x14ac:dyDescent="0.15">
      <c r="A207" s="182"/>
      <c r="B207" s="150"/>
      <c r="C207" s="116" t="s">
        <v>87</v>
      </c>
      <c r="D207" s="20">
        <v>1</v>
      </c>
      <c r="E207" s="20">
        <v>3</v>
      </c>
      <c r="F207" s="117" t="s">
        <v>35</v>
      </c>
      <c r="G207" s="29"/>
      <c r="H207" s="114" t="s">
        <v>36</v>
      </c>
      <c r="I207" s="20">
        <v>9</v>
      </c>
      <c r="J207" s="117" t="s">
        <v>39</v>
      </c>
      <c r="K207" s="12" t="s">
        <v>88</v>
      </c>
      <c r="L207" s="182"/>
    </row>
    <row r="208" spans="1:12" ht="27" x14ac:dyDescent="0.15">
      <c r="A208" s="182"/>
      <c r="B208" s="148" t="s">
        <v>89</v>
      </c>
      <c r="C208" s="66" t="s">
        <v>26</v>
      </c>
      <c r="D208" s="69">
        <v>4</v>
      </c>
      <c r="E208" s="69">
        <v>2</v>
      </c>
      <c r="F208" s="68" t="s">
        <v>76</v>
      </c>
      <c r="G208" s="69">
        <f>IF(D4="kg",MROUND(E8*0.8,2.5),MROUND(E8*0.8,5))</f>
        <v>325</v>
      </c>
      <c r="H208" s="68" t="s">
        <v>122</v>
      </c>
      <c r="I208" s="107">
        <v>44750</v>
      </c>
      <c r="J208" s="68" t="s">
        <v>24</v>
      </c>
      <c r="K208" s="66" t="s">
        <v>29</v>
      </c>
      <c r="L208" s="182"/>
    </row>
    <row r="209" spans="1:12" ht="54" x14ac:dyDescent="0.15">
      <c r="A209" s="182"/>
      <c r="B209" s="149"/>
      <c r="C209" s="65" t="s">
        <v>46</v>
      </c>
      <c r="D209" s="76">
        <v>4</v>
      </c>
      <c r="E209" s="76">
        <v>2</v>
      </c>
      <c r="F209" s="77" t="s">
        <v>27</v>
      </c>
      <c r="G209" s="76">
        <f>IF(D4="kg",MROUND(F8*0.8,2.5),MROUND(F8*0.8,5))</f>
        <v>275</v>
      </c>
      <c r="H209" s="77" t="s">
        <v>122</v>
      </c>
      <c r="I209" s="79">
        <v>44750</v>
      </c>
      <c r="J209" s="77" t="s">
        <v>24</v>
      </c>
      <c r="K209" s="65" t="s">
        <v>48</v>
      </c>
      <c r="L209" s="182"/>
    </row>
    <row r="210" spans="1:12" ht="27" x14ac:dyDescent="0.15">
      <c r="A210" s="182"/>
      <c r="B210" s="149"/>
      <c r="C210" s="66" t="s">
        <v>93</v>
      </c>
      <c r="D210" s="69">
        <v>1</v>
      </c>
      <c r="E210" s="69">
        <v>2</v>
      </c>
      <c r="F210" s="68" t="s">
        <v>50</v>
      </c>
      <c r="G210" s="69"/>
      <c r="H210" s="68" t="s">
        <v>36</v>
      </c>
      <c r="I210" s="69">
        <v>8</v>
      </c>
      <c r="J210" s="68" t="s">
        <v>32</v>
      </c>
      <c r="K210" s="66" t="s">
        <v>94</v>
      </c>
      <c r="L210" s="182"/>
    </row>
    <row r="211" spans="1:12" ht="54" x14ac:dyDescent="0.15">
      <c r="A211" s="182"/>
      <c r="B211" s="150"/>
      <c r="C211" s="65" t="s">
        <v>95</v>
      </c>
      <c r="D211" s="76">
        <v>0</v>
      </c>
      <c r="E211" s="76">
        <v>2</v>
      </c>
      <c r="F211" s="77" t="s">
        <v>96</v>
      </c>
      <c r="G211" s="76"/>
      <c r="H211" s="77" t="s">
        <v>36</v>
      </c>
      <c r="I211" s="76">
        <v>8</v>
      </c>
      <c r="J211" s="77" t="s">
        <v>39</v>
      </c>
      <c r="K211" s="65" t="s">
        <v>97</v>
      </c>
      <c r="L211" s="182"/>
    </row>
    <row r="212" spans="1:12" ht="26.25" customHeight="1" x14ac:dyDescent="0.15">
      <c r="A212" s="182"/>
      <c r="B212" s="158" t="s">
        <v>73</v>
      </c>
      <c r="C212" s="161"/>
      <c r="D212" s="161"/>
      <c r="E212" s="161"/>
      <c r="F212" s="161"/>
      <c r="G212" s="161"/>
      <c r="H212" s="161"/>
      <c r="I212" s="161"/>
      <c r="J212" s="161"/>
      <c r="K212" s="162"/>
      <c r="L212" s="182"/>
    </row>
    <row r="213" spans="1:12" ht="22" x14ac:dyDescent="0.15">
      <c r="A213" s="182"/>
      <c r="B213" s="33" t="s">
        <v>135</v>
      </c>
      <c r="C213" s="33" t="s">
        <v>10</v>
      </c>
      <c r="D213" s="33" t="s">
        <v>11</v>
      </c>
      <c r="E213" s="33" t="s">
        <v>12</v>
      </c>
      <c r="F213" s="34" t="s">
        <v>13</v>
      </c>
      <c r="G213" s="33" t="s">
        <v>14</v>
      </c>
      <c r="H213" s="34" t="s">
        <v>15</v>
      </c>
      <c r="I213" s="34" t="s">
        <v>16</v>
      </c>
      <c r="J213" s="34" t="s">
        <v>17</v>
      </c>
      <c r="K213" s="35" t="s">
        <v>18</v>
      </c>
      <c r="L213" s="182"/>
    </row>
    <row r="214" spans="1:12" ht="27" x14ac:dyDescent="0.15">
      <c r="A214" s="182"/>
      <c r="B214" s="148" t="s">
        <v>19</v>
      </c>
      <c r="C214" s="45" t="s">
        <v>20</v>
      </c>
      <c r="D214" s="46">
        <v>4</v>
      </c>
      <c r="E214" s="46">
        <v>1</v>
      </c>
      <c r="F214" s="47" t="s">
        <v>21</v>
      </c>
      <c r="G214" s="105" t="str">
        <f>IF(D4="kg",MROUND(E8*0.9,2.5)&amp;"-"&amp;MROUND(E8*0.95,2.5),MROUND(E8*0.9,5)&amp;"-"&amp;MROUND(E8*0.95,5))</f>
        <v>365-385</v>
      </c>
      <c r="H214" s="48" t="s">
        <v>118</v>
      </c>
      <c r="I214" s="48" t="s">
        <v>131</v>
      </c>
      <c r="J214" s="47" t="s">
        <v>24</v>
      </c>
      <c r="K214" s="45" t="s">
        <v>25</v>
      </c>
      <c r="L214" s="182"/>
    </row>
    <row r="215" spans="1:12" ht="27" x14ac:dyDescent="0.15">
      <c r="A215" s="182"/>
      <c r="B215" s="149"/>
      <c r="C215" s="65" t="s">
        <v>26</v>
      </c>
      <c r="D215" s="80">
        <v>0</v>
      </c>
      <c r="E215" s="80">
        <v>1</v>
      </c>
      <c r="F215" s="77" t="s">
        <v>47</v>
      </c>
      <c r="G215" s="76" t="str">
        <f>IF(D4="kg",MROUND(E8*0.85,2.5)&amp;"-"&amp;MROUND(E8*0.9,2.5),MROUND(E8*0.85,5)&amp;"-"&amp;MROUND(E8*0.9,5))</f>
        <v>345-365</v>
      </c>
      <c r="H215" s="76" t="s">
        <v>119</v>
      </c>
      <c r="I215" s="79">
        <v>44782</v>
      </c>
      <c r="J215" s="77" t="s">
        <v>24</v>
      </c>
      <c r="K215" s="65" t="s">
        <v>29</v>
      </c>
      <c r="L215" s="182"/>
    </row>
    <row r="216" spans="1:12" ht="54" x14ac:dyDescent="0.15">
      <c r="A216" s="182"/>
      <c r="B216" s="149"/>
      <c r="C216" s="60" t="s">
        <v>30</v>
      </c>
      <c r="D216" s="61">
        <v>3</v>
      </c>
      <c r="E216" s="61">
        <v>2</v>
      </c>
      <c r="F216" s="62" t="s">
        <v>31</v>
      </c>
      <c r="G216" s="63">
        <f>IF(D4="kg",MROUND(H8*0.7,2.5),MROUND(H8*0.7,5))</f>
        <v>157.5</v>
      </c>
      <c r="H216" s="64">
        <v>0.7</v>
      </c>
      <c r="I216" s="61">
        <v>6</v>
      </c>
      <c r="J216" s="62" t="s">
        <v>32</v>
      </c>
      <c r="K216" s="65" t="s">
        <v>33</v>
      </c>
      <c r="L216" s="182"/>
    </row>
    <row r="217" spans="1:12" ht="54" x14ac:dyDescent="0.15">
      <c r="A217" s="182"/>
      <c r="B217" s="149"/>
      <c r="C217" s="66" t="s">
        <v>34</v>
      </c>
      <c r="D217" s="80">
        <v>2</v>
      </c>
      <c r="E217" s="80">
        <v>1</v>
      </c>
      <c r="F217" s="77" t="s">
        <v>35</v>
      </c>
      <c r="G217" s="80"/>
      <c r="H217" s="80" t="s">
        <v>36</v>
      </c>
      <c r="I217" s="76">
        <v>6</v>
      </c>
      <c r="J217" s="80" t="s">
        <v>32</v>
      </c>
      <c r="K217" s="66" t="s">
        <v>37</v>
      </c>
      <c r="L217" s="182"/>
    </row>
    <row r="218" spans="1:12" ht="27" x14ac:dyDescent="0.15">
      <c r="A218" s="182"/>
      <c r="B218" s="150"/>
      <c r="C218" s="70" t="s">
        <v>38</v>
      </c>
      <c r="D218" s="71">
        <v>1</v>
      </c>
      <c r="E218" s="71">
        <v>3</v>
      </c>
      <c r="F218" s="72" t="s">
        <v>35</v>
      </c>
      <c r="G218" s="73"/>
      <c r="H218" s="71" t="s">
        <v>36</v>
      </c>
      <c r="I218" s="73">
        <v>9</v>
      </c>
      <c r="J218" s="74" t="s">
        <v>39</v>
      </c>
      <c r="K218" s="70" t="s">
        <v>40</v>
      </c>
      <c r="L218" s="182"/>
    </row>
    <row r="219" spans="1:12" ht="54" x14ac:dyDescent="0.15">
      <c r="A219" s="182"/>
      <c r="B219" s="148" t="s">
        <v>41</v>
      </c>
      <c r="C219" s="45" t="s">
        <v>42</v>
      </c>
      <c r="D219" s="48">
        <v>4</v>
      </c>
      <c r="E219" s="48">
        <v>1</v>
      </c>
      <c r="F219" s="47" t="s">
        <v>21</v>
      </c>
      <c r="G219" s="48" t="str">
        <f>IF(D4="kg",MROUND(F8*0.925,2.5)&amp;"-"&amp;MROUND(F8*0.975,2.5),MROUND(F8*0.925,5)&amp;"-"&amp;MROUND(F8*0.975,5))</f>
        <v>320-337.5</v>
      </c>
      <c r="H219" s="48" t="s">
        <v>133</v>
      </c>
      <c r="I219" s="46" t="s">
        <v>134</v>
      </c>
      <c r="J219" s="47" t="s">
        <v>24</v>
      </c>
      <c r="K219" s="45" t="s">
        <v>45</v>
      </c>
      <c r="L219" s="182"/>
    </row>
    <row r="220" spans="1:12" ht="54" x14ac:dyDescent="0.15">
      <c r="A220" s="182"/>
      <c r="B220" s="149"/>
      <c r="C220" s="18" t="s">
        <v>46</v>
      </c>
      <c r="D220" s="69">
        <v>0</v>
      </c>
      <c r="E220" s="69">
        <v>1</v>
      </c>
      <c r="F220" s="68" t="s">
        <v>106</v>
      </c>
      <c r="G220" s="69">
        <f>IF(D4="kg",MROUND(F8*0.95,2.5),MROUND(F8*0.95,5))</f>
        <v>327.5</v>
      </c>
      <c r="H220" s="122">
        <v>0.95</v>
      </c>
      <c r="I220" s="69" t="s">
        <v>134</v>
      </c>
      <c r="J220" s="68" t="s">
        <v>24</v>
      </c>
      <c r="K220" s="66" t="s">
        <v>48</v>
      </c>
      <c r="L220" s="182"/>
    </row>
    <row r="221" spans="1:12" ht="27" x14ac:dyDescent="0.15">
      <c r="A221" s="182"/>
      <c r="B221" s="149"/>
      <c r="C221" s="75" t="s">
        <v>49</v>
      </c>
      <c r="D221" s="80">
        <v>1</v>
      </c>
      <c r="E221" s="80">
        <v>2</v>
      </c>
      <c r="F221" s="77" t="s">
        <v>50</v>
      </c>
      <c r="G221" s="76"/>
      <c r="H221" s="76" t="s">
        <v>36</v>
      </c>
      <c r="I221" s="80">
        <v>8</v>
      </c>
      <c r="J221" s="77" t="s">
        <v>39</v>
      </c>
      <c r="K221" s="65" t="s">
        <v>51</v>
      </c>
      <c r="L221" s="182"/>
    </row>
    <row r="222" spans="1:12" ht="54" x14ac:dyDescent="0.15">
      <c r="A222" s="182"/>
      <c r="B222" s="149"/>
      <c r="C222" s="75" t="s">
        <v>52</v>
      </c>
      <c r="D222" s="80">
        <v>1</v>
      </c>
      <c r="E222" s="80">
        <v>3</v>
      </c>
      <c r="F222" s="77" t="s">
        <v>53</v>
      </c>
      <c r="G222" s="76"/>
      <c r="H222" s="76" t="s">
        <v>36</v>
      </c>
      <c r="I222" s="80">
        <v>10</v>
      </c>
      <c r="J222" s="77" t="s">
        <v>39</v>
      </c>
      <c r="K222" s="65" t="s">
        <v>54</v>
      </c>
      <c r="L222" s="182"/>
    </row>
    <row r="223" spans="1:12" ht="27" x14ac:dyDescent="0.15">
      <c r="A223" s="182"/>
      <c r="B223" s="149"/>
      <c r="C223" s="81" t="s">
        <v>55</v>
      </c>
      <c r="D223" s="67">
        <v>0</v>
      </c>
      <c r="E223" s="67">
        <v>2</v>
      </c>
      <c r="F223" s="68" t="s">
        <v>56</v>
      </c>
      <c r="G223" s="82"/>
      <c r="H223" s="68" t="s">
        <v>36</v>
      </c>
      <c r="I223" s="67">
        <v>9</v>
      </c>
      <c r="J223" s="68" t="s">
        <v>39</v>
      </c>
      <c r="K223" s="65" t="s">
        <v>57</v>
      </c>
      <c r="L223" s="182"/>
    </row>
    <row r="224" spans="1:12" ht="27" x14ac:dyDescent="0.15">
      <c r="A224" s="182"/>
      <c r="B224" s="149"/>
      <c r="C224" s="75" t="s">
        <v>58</v>
      </c>
      <c r="D224" s="80">
        <v>1</v>
      </c>
      <c r="E224" s="80">
        <v>2</v>
      </c>
      <c r="F224" s="77" t="s">
        <v>50</v>
      </c>
      <c r="G224" s="80"/>
      <c r="H224" s="77" t="s">
        <v>36</v>
      </c>
      <c r="I224" s="77" t="s">
        <v>100</v>
      </c>
      <c r="J224" s="83" t="s">
        <v>39</v>
      </c>
      <c r="K224" s="66" t="s">
        <v>60</v>
      </c>
      <c r="L224" s="182"/>
    </row>
    <row r="225" spans="1:12" ht="54" x14ac:dyDescent="0.15">
      <c r="A225" s="182"/>
      <c r="B225" s="150"/>
      <c r="C225" s="84" t="s">
        <v>61</v>
      </c>
      <c r="D225" s="26">
        <v>0</v>
      </c>
      <c r="E225" s="26">
        <v>2</v>
      </c>
      <c r="F225" s="85" t="s">
        <v>53</v>
      </c>
      <c r="G225" s="86"/>
      <c r="H225" s="87" t="s">
        <v>36</v>
      </c>
      <c r="I225" s="26">
        <v>8</v>
      </c>
      <c r="J225" s="85" t="s">
        <v>39</v>
      </c>
      <c r="K225" s="12" t="s">
        <v>62</v>
      </c>
      <c r="L225" s="182"/>
    </row>
    <row r="226" spans="1:12" ht="54" x14ac:dyDescent="0.15">
      <c r="A226" s="182"/>
      <c r="B226" s="157" t="s">
        <v>63</v>
      </c>
      <c r="C226" s="88" t="s">
        <v>101</v>
      </c>
      <c r="D226" s="89">
        <v>3</v>
      </c>
      <c r="E226" s="89">
        <v>3</v>
      </c>
      <c r="F226" s="90" t="s">
        <v>31</v>
      </c>
      <c r="G226" s="91"/>
      <c r="H226" s="89" t="s">
        <v>36</v>
      </c>
      <c r="I226" s="89">
        <v>6</v>
      </c>
      <c r="J226" s="90" t="s">
        <v>65</v>
      </c>
      <c r="K226" s="66" t="s">
        <v>102</v>
      </c>
      <c r="L226" s="182"/>
    </row>
    <row r="227" spans="1:12" ht="54" x14ac:dyDescent="0.15">
      <c r="A227" s="182"/>
      <c r="B227" s="149"/>
      <c r="C227" s="75" t="s">
        <v>103</v>
      </c>
      <c r="D227" s="80">
        <v>3</v>
      </c>
      <c r="E227" s="80">
        <v>3</v>
      </c>
      <c r="F227" s="77" t="s">
        <v>31</v>
      </c>
      <c r="G227" s="92" t="str">
        <f>IF(D4="kg",MROUND(F8*0.7,2.5)&amp;"-"&amp;MROUND(F8*0.8,2.5),MROUND(F8*0.7,5)&amp;"-"&amp;MROUND(F8*0.8,5))</f>
        <v>242.5-275</v>
      </c>
      <c r="H227" s="76" t="s">
        <v>129</v>
      </c>
      <c r="I227" s="80">
        <v>6</v>
      </c>
      <c r="J227" s="77" t="s">
        <v>65</v>
      </c>
      <c r="K227" s="65" t="s">
        <v>105</v>
      </c>
      <c r="L227" s="182"/>
    </row>
    <row r="228" spans="1:12" ht="27" x14ac:dyDescent="0.15">
      <c r="A228" s="182"/>
      <c r="B228" s="149"/>
      <c r="C228" s="75" t="s">
        <v>69</v>
      </c>
      <c r="D228" s="80">
        <v>1</v>
      </c>
      <c r="E228" s="80">
        <v>3</v>
      </c>
      <c r="F228" s="77" t="s">
        <v>53</v>
      </c>
      <c r="G228" s="93"/>
      <c r="H228" s="80" t="s">
        <v>36</v>
      </c>
      <c r="I228" s="76">
        <v>9</v>
      </c>
      <c r="J228" s="80" t="s">
        <v>32</v>
      </c>
      <c r="K228" s="65" t="s">
        <v>70</v>
      </c>
      <c r="L228" s="182"/>
    </row>
    <row r="229" spans="1:12" ht="27" x14ac:dyDescent="0.15">
      <c r="A229" s="182"/>
      <c r="B229" s="150"/>
      <c r="C229" s="75" t="s">
        <v>71</v>
      </c>
      <c r="D229" s="80">
        <v>1</v>
      </c>
      <c r="E229" s="80">
        <v>2</v>
      </c>
      <c r="F229" s="77" t="s">
        <v>35</v>
      </c>
      <c r="G229" s="92"/>
      <c r="H229" s="76" t="s">
        <v>36</v>
      </c>
      <c r="I229" s="80">
        <v>10</v>
      </c>
      <c r="J229" s="77" t="s">
        <v>39</v>
      </c>
      <c r="K229" s="66" t="s">
        <v>72</v>
      </c>
      <c r="L229" s="182"/>
    </row>
    <row r="230" spans="1:12" ht="26.25" customHeight="1" x14ac:dyDescent="0.15">
      <c r="A230" s="182"/>
      <c r="B230" s="158" t="s">
        <v>73</v>
      </c>
      <c r="C230" s="161"/>
      <c r="D230" s="161"/>
      <c r="E230" s="161"/>
      <c r="F230" s="161"/>
      <c r="G230" s="161"/>
      <c r="H230" s="161"/>
      <c r="I230" s="161"/>
      <c r="J230" s="161"/>
      <c r="K230" s="162"/>
      <c r="L230" s="182"/>
    </row>
    <row r="231" spans="1:12" ht="27" x14ac:dyDescent="0.15">
      <c r="A231" s="182"/>
      <c r="B231" s="148" t="s">
        <v>74</v>
      </c>
      <c r="C231" s="94" t="s">
        <v>75</v>
      </c>
      <c r="D231" s="95">
        <v>4</v>
      </c>
      <c r="E231" s="95">
        <v>1</v>
      </c>
      <c r="F231" s="96" t="s">
        <v>21</v>
      </c>
      <c r="G231" s="95" t="str">
        <f>IF(D4="kg",MROUND(G8*0.95,2.5)&amp;"-"&amp;MROUND(G8*0.975,2.5),MROUND(G8*0.95,5)&amp;"-"&amp;MROUND(G8*0.975,5))</f>
        <v>475-487.5</v>
      </c>
      <c r="H231" s="95" t="s">
        <v>136</v>
      </c>
      <c r="I231" s="95" t="s">
        <v>134</v>
      </c>
      <c r="J231" s="96" t="s">
        <v>24</v>
      </c>
      <c r="K231" s="99" t="s">
        <v>77</v>
      </c>
      <c r="L231" s="182"/>
    </row>
    <row r="232" spans="1:12" ht="54" x14ac:dyDescent="0.15">
      <c r="A232" s="182"/>
      <c r="B232" s="149"/>
      <c r="C232" s="75" t="s">
        <v>107</v>
      </c>
      <c r="D232" s="80">
        <v>0</v>
      </c>
      <c r="E232" s="80">
        <v>2</v>
      </c>
      <c r="F232" s="77" t="s">
        <v>31</v>
      </c>
      <c r="G232" s="76" t="str">
        <f>IF(D4="kg",MROUND(G8*0.65,2.5)&amp;"-"&amp;MROUND(G8*0.75,2.5),MROUND(G8*0.65,5)&amp;"-"&amp;MROUND(G8*0.75,5))</f>
        <v>325-375</v>
      </c>
      <c r="H232" s="76" t="s">
        <v>121</v>
      </c>
      <c r="I232" s="80">
        <v>7</v>
      </c>
      <c r="J232" s="77" t="s">
        <v>65</v>
      </c>
      <c r="K232" s="65" t="s">
        <v>109</v>
      </c>
      <c r="L232" s="182"/>
    </row>
    <row r="233" spans="1:12" ht="54" x14ac:dyDescent="0.15">
      <c r="A233" s="182"/>
      <c r="B233" s="149"/>
      <c r="C233" s="81" t="s">
        <v>80</v>
      </c>
      <c r="D233" s="67">
        <v>0</v>
      </c>
      <c r="E233" s="67">
        <v>3</v>
      </c>
      <c r="F233" s="68" t="s">
        <v>56</v>
      </c>
      <c r="G233" s="69"/>
      <c r="H233" s="69" t="s">
        <v>36</v>
      </c>
      <c r="I233" s="67">
        <v>9</v>
      </c>
      <c r="J233" s="68" t="s">
        <v>39</v>
      </c>
      <c r="K233" s="66" t="s">
        <v>81</v>
      </c>
      <c r="L233" s="182"/>
    </row>
    <row r="234" spans="1:12" ht="27" x14ac:dyDescent="0.15">
      <c r="A234" s="182"/>
      <c r="B234" s="149"/>
      <c r="C234" s="75" t="s">
        <v>82</v>
      </c>
      <c r="D234" s="80">
        <v>1</v>
      </c>
      <c r="E234" s="80">
        <v>3</v>
      </c>
      <c r="F234" s="77" t="s">
        <v>56</v>
      </c>
      <c r="G234" s="92"/>
      <c r="H234" s="77" t="s">
        <v>36</v>
      </c>
      <c r="I234" s="80">
        <v>9</v>
      </c>
      <c r="J234" s="77" t="s">
        <v>39</v>
      </c>
      <c r="K234" s="65" t="s">
        <v>83</v>
      </c>
      <c r="L234" s="182"/>
    </row>
    <row r="235" spans="1:12" ht="54" x14ac:dyDescent="0.15">
      <c r="A235" s="182"/>
      <c r="B235" s="149"/>
      <c r="C235" s="81" t="s">
        <v>84</v>
      </c>
      <c r="D235" s="67">
        <v>1</v>
      </c>
      <c r="E235" s="67">
        <v>2</v>
      </c>
      <c r="F235" s="68" t="s">
        <v>56</v>
      </c>
      <c r="G235" s="67"/>
      <c r="H235" s="68" t="s">
        <v>36</v>
      </c>
      <c r="I235" s="68" t="s">
        <v>85</v>
      </c>
      <c r="J235" s="115" t="s">
        <v>39</v>
      </c>
      <c r="K235" s="66" t="s">
        <v>86</v>
      </c>
      <c r="L235" s="182"/>
    </row>
    <row r="236" spans="1:12" ht="27" x14ac:dyDescent="0.15">
      <c r="A236" s="182"/>
      <c r="B236" s="150"/>
      <c r="C236" s="116" t="s">
        <v>87</v>
      </c>
      <c r="D236" s="20">
        <v>1</v>
      </c>
      <c r="E236" s="20">
        <v>3</v>
      </c>
      <c r="F236" s="117" t="s">
        <v>35</v>
      </c>
      <c r="G236" s="29"/>
      <c r="H236" s="114" t="s">
        <v>36</v>
      </c>
      <c r="I236" s="20">
        <v>9</v>
      </c>
      <c r="J236" s="117" t="s">
        <v>39</v>
      </c>
      <c r="K236" s="12" t="s">
        <v>88</v>
      </c>
      <c r="L236" s="182"/>
    </row>
    <row r="237" spans="1:12" ht="27" x14ac:dyDescent="0.15">
      <c r="A237" s="182"/>
      <c r="B237" s="148" t="s">
        <v>89</v>
      </c>
      <c r="C237" s="66" t="s">
        <v>26</v>
      </c>
      <c r="D237" s="69">
        <v>4</v>
      </c>
      <c r="E237" s="69">
        <v>2</v>
      </c>
      <c r="F237" s="68" t="s">
        <v>76</v>
      </c>
      <c r="G237" s="69">
        <f>IF(D4="kg",MROUND(E8*0.825,2.5),MROUND(E8*0.825,5))</f>
        <v>335</v>
      </c>
      <c r="H237" s="68" t="s">
        <v>137</v>
      </c>
      <c r="I237" s="107">
        <v>44750</v>
      </c>
      <c r="J237" s="68" t="s">
        <v>24</v>
      </c>
      <c r="K237" s="66" t="s">
        <v>29</v>
      </c>
      <c r="L237" s="182"/>
    </row>
    <row r="238" spans="1:12" ht="54" x14ac:dyDescent="0.15">
      <c r="A238" s="182"/>
      <c r="B238" s="149"/>
      <c r="C238" s="65" t="s">
        <v>46</v>
      </c>
      <c r="D238" s="76">
        <v>4</v>
      </c>
      <c r="E238" s="76">
        <v>1</v>
      </c>
      <c r="F238" s="77" t="s">
        <v>27</v>
      </c>
      <c r="G238" s="76">
        <f>IF(D4="kg",MROUND(F8*0.825,2.5),MROUND(F8*0.825,5))</f>
        <v>285</v>
      </c>
      <c r="H238" s="77" t="s">
        <v>137</v>
      </c>
      <c r="I238" s="79">
        <v>44750</v>
      </c>
      <c r="J238" s="77" t="s">
        <v>24</v>
      </c>
      <c r="K238" s="65" t="s">
        <v>48</v>
      </c>
      <c r="L238" s="182"/>
    </row>
    <row r="239" spans="1:12" ht="27" x14ac:dyDescent="0.15">
      <c r="A239" s="182"/>
      <c r="B239" s="149"/>
      <c r="C239" s="66" t="s">
        <v>93</v>
      </c>
      <c r="D239" s="69">
        <v>1</v>
      </c>
      <c r="E239" s="69">
        <v>2</v>
      </c>
      <c r="F239" s="68" t="s">
        <v>50</v>
      </c>
      <c r="G239" s="69"/>
      <c r="H239" s="68" t="s">
        <v>36</v>
      </c>
      <c r="I239" s="69">
        <v>8</v>
      </c>
      <c r="J239" s="68" t="s">
        <v>32</v>
      </c>
      <c r="K239" s="66" t="s">
        <v>94</v>
      </c>
      <c r="L239" s="182"/>
    </row>
    <row r="240" spans="1:12" ht="54" x14ac:dyDescent="0.15">
      <c r="A240" s="182"/>
      <c r="B240" s="150"/>
      <c r="C240" s="65" t="s">
        <v>95</v>
      </c>
      <c r="D240" s="76">
        <v>0</v>
      </c>
      <c r="E240" s="76">
        <v>2</v>
      </c>
      <c r="F240" s="77" t="s">
        <v>96</v>
      </c>
      <c r="G240" s="76"/>
      <c r="H240" s="77" t="s">
        <v>36</v>
      </c>
      <c r="I240" s="76">
        <v>8</v>
      </c>
      <c r="J240" s="77" t="s">
        <v>39</v>
      </c>
      <c r="K240" s="65" t="s">
        <v>97</v>
      </c>
      <c r="L240" s="182"/>
    </row>
    <row r="241" spans="1:12" ht="26.25" customHeight="1" x14ac:dyDescent="0.15">
      <c r="A241" s="182"/>
      <c r="B241" s="158" t="s">
        <v>73</v>
      </c>
      <c r="C241" s="161"/>
      <c r="D241" s="161"/>
      <c r="E241" s="161"/>
      <c r="F241" s="161"/>
      <c r="G241" s="161"/>
      <c r="H241" s="161"/>
      <c r="I241" s="161"/>
      <c r="J241" s="161"/>
      <c r="K241" s="162"/>
      <c r="L241" s="182"/>
    </row>
    <row r="242" spans="1:12" ht="34.5" customHeight="1" x14ac:dyDescent="0.15">
      <c r="A242" s="182"/>
      <c r="B242" s="195" t="s">
        <v>138</v>
      </c>
      <c r="C242" s="196"/>
      <c r="D242" s="196"/>
      <c r="E242" s="196"/>
      <c r="F242" s="196"/>
      <c r="G242" s="196"/>
      <c r="H242" s="196"/>
      <c r="I242" s="196"/>
      <c r="J242" s="196"/>
      <c r="K242" s="197"/>
      <c r="L242" s="182"/>
    </row>
    <row r="243" spans="1:12" ht="24" x14ac:dyDescent="0.15">
      <c r="A243" s="15"/>
      <c r="B243" s="36" t="s">
        <v>139</v>
      </c>
      <c r="C243" s="37" t="s">
        <v>10</v>
      </c>
      <c r="D243" s="37" t="s">
        <v>11</v>
      </c>
      <c r="E243" s="37" t="s">
        <v>12</v>
      </c>
      <c r="F243" s="38" t="s">
        <v>13</v>
      </c>
      <c r="G243" s="33" t="s">
        <v>14</v>
      </c>
      <c r="H243" s="38" t="s">
        <v>15</v>
      </c>
      <c r="I243" s="38" t="s">
        <v>16</v>
      </c>
      <c r="J243" s="38" t="s">
        <v>17</v>
      </c>
      <c r="K243" s="123" t="s">
        <v>18</v>
      </c>
      <c r="L243" s="16"/>
    </row>
    <row r="244" spans="1:12" ht="54" x14ac:dyDescent="0.15">
      <c r="A244" s="15"/>
      <c r="B244" s="148" t="s">
        <v>19</v>
      </c>
      <c r="C244" s="124" t="s">
        <v>26</v>
      </c>
      <c r="D244" s="125">
        <v>4</v>
      </c>
      <c r="E244" s="126">
        <v>1</v>
      </c>
      <c r="F244" s="110" t="s">
        <v>21</v>
      </c>
      <c r="G244" s="111">
        <f>IF(D4="kg",MROUND(E8*0.9,2.5),MROUND(E8*0.9,5))</f>
        <v>365</v>
      </c>
      <c r="H244" s="127">
        <v>0.9</v>
      </c>
      <c r="I244" s="111" t="s">
        <v>44</v>
      </c>
      <c r="J244" s="128" t="s">
        <v>24</v>
      </c>
      <c r="K244" s="124" t="s">
        <v>140</v>
      </c>
      <c r="L244" s="16"/>
    </row>
    <row r="245" spans="1:12" ht="27" x14ac:dyDescent="0.15">
      <c r="A245" s="15"/>
      <c r="B245" s="149"/>
      <c r="C245" s="129" t="s">
        <v>42</v>
      </c>
      <c r="D245" s="93">
        <v>4</v>
      </c>
      <c r="E245" s="17">
        <v>1</v>
      </c>
      <c r="F245" s="77" t="s">
        <v>76</v>
      </c>
      <c r="G245" s="92">
        <f>IF(D4="kg",MROUND(F8*0.75,2.5),MROUND(F8*0.75,5))</f>
        <v>260</v>
      </c>
      <c r="H245" s="130">
        <v>0.75</v>
      </c>
      <c r="I245" s="131">
        <v>44687</v>
      </c>
      <c r="J245" s="132" t="s">
        <v>24</v>
      </c>
      <c r="K245" s="129" t="s">
        <v>141</v>
      </c>
      <c r="L245" s="16"/>
    </row>
    <row r="246" spans="1:12" ht="54" x14ac:dyDescent="0.15">
      <c r="A246" s="15"/>
      <c r="B246" s="149"/>
      <c r="C246" s="133" t="s">
        <v>142</v>
      </c>
      <c r="D246" s="112">
        <v>4</v>
      </c>
      <c r="E246" s="18">
        <v>2</v>
      </c>
      <c r="F246" s="134" t="s">
        <v>47</v>
      </c>
      <c r="G246" s="112">
        <f>IF(D4="kg",MROUND(G8*0.65,2.5),MROUND(G8*0.65,5))</f>
        <v>325</v>
      </c>
      <c r="H246" s="135">
        <v>0.65</v>
      </c>
      <c r="I246" s="136">
        <v>44656</v>
      </c>
      <c r="J246" s="112" t="s">
        <v>24</v>
      </c>
      <c r="K246" s="133" t="s">
        <v>143</v>
      </c>
      <c r="L246" s="16"/>
    </row>
    <row r="247" spans="1:12" ht="27" x14ac:dyDescent="0.15">
      <c r="A247" s="15"/>
      <c r="B247" s="150"/>
      <c r="C247" s="12" t="s">
        <v>38</v>
      </c>
      <c r="D247" s="19">
        <v>1</v>
      </c>
      <c r="E247" s="20">
        <v>4</v>
      </c>
      <c r="F247" s="137" t="s">
        <v>53</v>
      </c>
      <c r="G247" s="29"/>
      <c r="H247" s="29" t="s">
        <v>36</v>
      </c>
      <c r="I247" s="29">
        <v>8</v>
      </c>
      <c r="J247" s="137" t="s">
        <v>39</v>
      </c>
      <c r="K247" s="12" t="s">
        <v>40</v>
      </c>
      <c r="L247" s="16"/>
    </row>
    <row r="248" spans="1:12" s="43" customFormat="1" ht="26.25" customHeight="1" x14ac:dyDescent="0.15">
      <c r="A248" s="41"/>
      <c r="B248" s="158" t="s">
        <v>73</v>
      </c>
      <c r="C248" s="161"/>
      <c r="D248" s="161"/>
      <c r="E248" s="161"/>
      <c r="F248" s="161"/>
      <c r="G248" s="161"/>
      <c r="H248" s="161"/>
      <c r="I248" s="161"/>
      <c r="J248" s="161"/>
      <c r="K248" s="162"/>
      <c r="L248" s="42"/>
    </row>
    <row r="249" spans="1:12" ht="54" x14ac:dyDescent="0.15">
      <c r="A249" s="15"/>
      <c r="B249" s="151" t="s">
        <v>41</v>
      </c>
      <c r="C249" s="129" t="s">
        <v>75</v>
      </c>
      <c r="D249" s="92">
        <v>4</v>
      </c>
      <c r="E249" s="92">
        <v>1</v>
      </c>
      <c r="F249" s="132" t="s">
        <v>21</v>
      </c>
      <c r="G249" s="92">
        <f>IF(D4="kg",MROUND(G8*0.9,2.5),MROUND(G8*0.9,5))</f>
        <v>450</v>
      </c>
      <c r="H249" s="130">
        <v>0.9</v>
      </c>
      <c r="I249" s="91" t="s">
        <v>44</v>
      </c>
      <c r="J249" s="132" t="s">
        <v>24</v>
      </c>
      <c r="K249" s="138" t="s">
        <v>140</v>
      </c>
      <c r="L249" s="16"/>
    </row>
    <row r="250" spans="1:12" ht="54" x14ac:dyDescent="0.15">
      <c r="A250" s="15"/>
      <c r="B250" s="152"/>
      <c r="C250" s="139" t="s">
        <v>30</v>
      </c>
      <c r="D250" s="21">
        <v>3</v>
      </c>
      <c r="E250" s="18">
        <v>2</v>
      </c>
      <c r="F250" s="22" t="s">
        <v>31</v>
      </c>
      <c r="G250" s="24">
        <f>IF(D4="kg",MROUND(H8*0.7,2.5),MROUND(H8*0.7,5))</f>
        <v>157.5</v>
      </c>
      <c r="H250" s="23">
        <v>0.7</v>
      </c>
      <c r="I250" s="24">
        <v>6</v>
      </c>
      <c r="J250" s="22" t="s">
        <v>32</v>
      </c>
      <c r="K250" s="66" t="s">
        <v>33</v>
      </c>
      <c r="L250" s="16"/>
    </row>
    <row r="251" spans="1:12" ht="54" x14ac:dyDescent="0.15">
      <c r="A251" s="15"/>
      <c r="B251" s="152"/>
      <c r="C251" s="129" t="s">
        <v>64</v>
      </c>
      <c r="D251" s="93">
        <v>3</v>
      </c>
      <c r="E251" s="93">
        <v>2</v>
      </c>
      <c r="F251" s="132" t="s">
        <v>27</v>
      </c>
      <c r="G251" s="92"/>
      <c r="H251" s="93" t="s">
        <v>36</v>
      </c>
      <c r="I251" s="93">
        <v>5</v>
      </c>
      <c r="J251" s="132" t="s">
        <v>65</v>
      </c>
      <c r="K251" s="25" t="s">
        <v>66</v>
      </c>
      <c r="L251" s="16"/>
    </row>
    <row r="252" spans="1:12" ht="54" x14ac:dyDescent="0.15">
      <c r="A252" s="15"/>
      <c r="B252" s="153"/>
      <c r="C252" s="81" t="s">
        <v>52</v>
      </c>
      <c r="D252" s="140">
        <v>1</v>
      </c>
      <c r="E252" s="26">
        <v>4</v>
      </c>
      <c r="F252" s="141" t="s">
        <v>53</v>
      </c>
      <c r="G252" s="86"/>
      <c r="H252" s="86" t="s">
        <v>36</v>
      </c>
      <c r="I252" s="86">
        <v>6</v>
      </c>
      <c r="J252" s="141" t="s">
        <v>39</v>
      </c>
      <c r="K252" s="66" t="s">
        <v>54</v>
      </c>
      <c r="L252" s="16"/>
    </row>
    <row r="253" spans="1:12" ht="26.25" customHeight="1" x14ac:dyDescent="0.15">
      <c r="A253" s="15"/>
      <c r="B253" s="158" t="s">
        <v>73</v>
      </c>
      <c r="C253" s="163"/>
      <c r="D253" s="163"/>
      <c r="E253" s="163"/>
      <c r="F253" s="163"/>
      <c r="G253" s="163"/>
      <c r="H253" s="163"/>
      <c r="I253" s="163"/>
      <c r="J253" s="163"/>
      <c r="K253" s="164"/>
      <c r="L253" s="16"/>
    </row>
    <row r="254" spans="1:12" ht="54" x14ac:dyDescent="0.15">
      <c r="A254" s="15"/>
      <c r="B254" s="151" t="s">
        <v>63</v>
      </c>
      <c r="C254" s="133" t="s">
        <v>42</v>
      </c>
      <c r="D254" s="82">
        <v>4</v>
      </c>
      <c r="E254" s="82">
        <v>1</v>
      </c>
      <c r="F254" s="134" t="s">
        <v>21</v>
      </c>
      <c r="G254" s="82">
        <f>IF(D4="kg",MROUND(F8*0.925,2.5),MROUND(F8*0.925,5))</f>
        <v>320</v>
      </c>
      <c r="H254" s="142">
        <v>0.92500000000000004</v>
      </c>
      <c r="I254" s="112" t="s">
        <v>131</v>
      </c>
      <c r="J254" s="134" t="s">
        <v>24</v>
      </c>
      <c r="K254" s="124" t="s">
        <v>140</v>
      </c>
      <c r="L254" s="16"/>
    </row>
    <row r="255" spans="1:12" ht="27" x14ac:dyDescent="0.15">
      <c r="A255" s="15"/>
      <c r="B255" s="152"/>
      <c r="C255" s="129" t="s">
        <v>26</v>
      </c>
      <c r="D255" s="93">
        <v>4</v>
      </c>
      <c r="E255" s="17">
        <v>2</v>
      </c>
      <c r="F255" s="132" t="s">
        <v>27</v>
      </c>
      <c r="G255" s="92">
        <f>IF(D4="kg",MROUND(E8*0.75,2.5),MROUND(E8*0.75,5))</f>
        <v>305</v>
      </c>
      <c r="H255" s="130">
        <v>0.75</v>
      </c>
      <c r="I255" s="131">
        <v>44687</v>
      </c>
      <c r="J255" s="132" t="s">
        <v>24</v>
      </c>
      <c r="K255" s="65" t="s">
        <v>29</v>
      </c>
      <c r="L255" s="16"/>
    </row>
    <row r="256" spans="1:12" ht="27" x14ac:dyDescent="0.15">
      <c r="A256" s="15"/>
      <c r="B256" s="152"/>
      <c r="C256" s="81" t="s">
        <v>49</v>
      </c>
      <c r="D256" s="112">
        <v>1</v>
      </c>
      <c r="E256" s="18">
        <v>4</v>
      </c>
      <c r="F256" s="134" t="s">
        <v>53</v>
      </c>
      <c r="G256" s="82"/>
      <c r="H256" s="82" t="s">
        <v>36</v>
      </c>
      <c r="I256" s="82">
        <v>10</v>
      </c>
      <c r="J256" s="134" t="s">
        <v>39</v>
      </c>
      <c r="K256" s="66" t="s">
        <v>51</v>
      </c>
      <c r="L256" s="16"/>
    </row>
    <row r="257" spans="1:12" ht="27" x14ac:dyDescent="0.15">
      <c r="A257" s="15"/>
      <c r="B257" s="153"/>
      <c r="C257" s="30" t="s">
        <v>55</v>
      </c>
      <c r="D257" s="19">
        <v>0</v>
      </c>
      <c r="E257" s="20">
        <v>4</v>
      </c>
      <c r="F257" s="137" t="s">
        <v>96</v>
      </c>
      <c r="G257" s="29"/>
      <c r="H257" s="29" t="s">
        <v>36</v>
      </c>
      <c r="I257" s="29">
        <v>10</v>
      </c>
      <c r="J257" s="137" t="s">
        <v>39</v>
      </c>
      <c r="K257" s="65" t="s">
        <v>57</v>
      </c>
      <c r="L257" s="16"/>
    </row>
    <row r="258" spans="1:12" ht="26.25" customHeight="1" x14ac:dyDescent="0.15">
      <c r="A258" s="15"/>
      <c r="B258" s="158" t="s">
        <v>144</v>
      </c>
      <c r="C258" s="161"/>
      <c r="D258" s="161"/>
      <c r="E258" s="161"/>
      <c r="F258" s="161"/>
      <c r="G258" s="161"/>
      <c r="H258" s="161"/>
      <c r="I258" s="161"/>
      <c r="J258" s="161"/>
      <c r="K258" s="162"/>
      <c r="L258" s="16"/>
    </row>
    <row r="259" spans="1:12" ht="26" x14ac:dyDescent="0.15">
      <c r="A259" s="15"/>
      <c r="B259" s="165"/>
      <c r="C259" s="166"/>
      <c r="D259" s="166"/>
      <c r="E259" s="166"/>
      <c r="F259" s="166"/>
      <c r="G259" s="166"/>
      <c r="H259" s="166"/>
      <c r="I259" s="166"/>
      <c r="J259" s="166"/>
      <c r="K259" s="166"/>
      <c r="L259" s="16"/>
    </row>
    <row r="260" spans="1:12" ht="26.25" customHeight="1" x14ac:dyDescent="0.3">
      <c r="A260" s="15"/>
      <c r="B260" s="167" t="s">
        <v>145</v>
      </c>
      <c r="C260" s="168"/>
      <c r="D260" s="168"/>
      <c r="E260" s="168"/>
      <c r="F260" s="168"/>
      <c r="G260" s="168"/>
      <c r="H260" s="168"/>
      <c r="I260" s="168"/>
      <c r="J260" s="168"/>
      <c r="K260" s="169"/>
      <c r="L260" s="16"/>
    </row>
    <row r="261" spans="1:12" ht="408.75" customHeight="1" x14ac:dyDescent="0.3">
      <c r="A261" s="15"/>
      <c r="B261" s="171" t="s">
        <v>146</v>
      </c>
      <c r="C261" s="172"/>
      <c r="D261" s="172"/>
      <c r="E261" s="172"/>
      <c r="F261" s="172"/>
      <c r="G261" s="172"/>
      <c r="H261" s="172"/>
      <c r="I261" s="172"/>
      <c r="J261" s="172"/>
      <c r="K261" s="172"/>
      <c r="L261" s="16"/>
    </row>
    <row r="262" spans="1:12" ht="26" x14ac:dyDescent="0.3">
      <c r="A262" s="15"/>
      <c r="B262" s="173"/>
      <c r="C262" s="174"/>
      <c r="D262" s="174"/>
      <c r="E262" s="174"/>
      <c r="F262" s="174"/>
      <c r="G262" s="174"/>
      <c r="H262" s="174"/>
      <c r="I262" s="174"/>
      <c r="J262" s="174"/>
      <c r="K262" s="175"/>
      <c r="L262" s="16"/>
    </row>
    <row r="263" spans="1:12" ht="26.25" customHeight="1" x14ac:dyDescent="0.15">
      <c r="A263" s="15"/>
      <c r="B263" s="176" t="s">
        <v>147</v>
      </c>
      <c r="C263" s="177"/>
      <c r="D263" s="177"/>
      <c r="E263" s="177"/>
      <c r="F263" s="177"/>
      <c r="G263" s="177"/>
      <c r="H263" s="177"/>
      <c r="I263" s="177"/>
      <c r="J263" s="177"/>
      <c r="K263" s="178"/>
      <c r="L263" s="16"/>
    </row>
    <row r="264" spans="1:12" ht="44" x14ac:dyDescent="0.15">
      <c r="A264" s="15"/>
      <c r="B264" s="39" t="s">
        <v>148</v>
      </c>
      <c r="C264" s="33" t="s">
        <v>10</v>
      </c>
      <c r="D264" s="33" t="s">
        <v>11</v>
      </c>
      <c r="E264" s="33" t="s">
        <v>12</v>
      </c>
      <c r="F264" s="34" t="s">
        <v>13</v>
      </c>
      <c r="G264" s="33" t="s">
        <v>14</v>
      </c>
      <c r="H264" s="34" t="s">
        <v>15</v>
      </c>
      <c r="I264" s="34" t="s">
        <v>16</v>
      </c>
      <c r="J264" s="34" t="s">
        <v>17</v>
      </c>
      <c r="K264" s="35" t="s">
        <v>18</v>
      </c>
      <c r="L264" s="16"/>
    </row>
    <row r="265" spans="1:12" ht="54" x14ac:dyDescent="0.15">
      <c r="A265" s="15"/>
      <c r="B265" s="154" t="s">
        <v>149</v>
      </c>
      <c r="C265" s="129" t="s">
        <v>26</v>
      </c>
      <c r="D265" s="92">
        <v>5</v>
      </c>
      <c r="E265" s="92" t="s">
        <v>150</v>
      </c>
      <c r="F265" s="132" t="s">
        <v>21</v>
      </c>
      <c r="G265" s="92" t="str">
        <f>IF(D4="kg",MROUND(E8*1,2.5)&amp;"-"&amp;MROUND(E8*1.05,2.5),MROUND(E8*1,5)&amp;"-"&amp;MROUND(E8*1.05,5))</f>
        <v>405-425</v>
      </c>
      <c r="H265" s="92" t="s">
        <v>151</v>
      </c>
      <c r="I265" s="93" t="s">
        <v>152</v>
      </c>
      <c r="J265" s="92" t="s">
        <v>153</v>
      </c>
      <c r="K265" s="129" t="s">
        <v>154</v>
      </c>
      <c r="L265" s="16"/>
    </row>
    <row r="266" spans="1:12" ht="54" x14ac:dyDescent="0.15">
      <c r="A266" s="15"/>
      <c r="B266" s="155"/>
      <c r="C266" s="133" t="s">
        <v>155</v>
      </c>
      <c r="D266" s="18">
        <v>1</v>
      </c>
      <c r="E266" s="18">
        <v>2</v>
      </c>
      <c r="F266" s="134" t="s">
        <v>59</v>
      </c>
      <c r="G266" s="18"/>
      <c r="H266" s="18" t="s">
        <v>36</v>
      </c>
      <c r="I266" s="82">
        <v>7</v>
      </c>
      <c r="J266" s="18" t="s">
        <v>39</v>
      </c>
      <c r="K266" s="66" t="s">
        <v>156</v>
      </c>
      <c r="L266" s="16"/>
    </row>
    <row r="267" spans="1:12" ht="54" x14ac:dyDescent="0.15">
      <c r="A267" s="15"/>
      <c r="B267" s="156"/>
      <c r="C267" s="30" t="s">
        <v>80</v>
      </c>
      <c r="D267" s="20">
        <v>1</v>
      </c>
      <c r="E267" s="20">
        <v>2</v>
      </c>
      <c r="F267" s="137" t="s">
        <v>56</v>
      </c>
      <c r="G267" s="20"/>
      <c r="H267" s="20" t="s">
        <v>36</v>
      </c>
      <c r="I267" s="29">
        <v>7</v>
      </c>
      <c r="J267" s="20" t="s">
        <v>39</v>
      </c>
      <c r="K267" s="65" t="s">
        <v>81</v>
      </c>
      <c r="L267" s="16"/>
    </row>
    <row r="268" spans="1:12" ht="26.25" customHeight="1" x14ac:dyDescent="0.15">
      <c r="A268" s="15"/>
      <c r="B268" s="170" t="s">
        <v>73</v>
      </c>
      <c r="C268" s="161"/>
      <c r="D268" s="161"/>
      <c r="E268" s="161"/>
      <c r="F268" s="161"/>
      <c r="G268" s="161"/>
      <c r="H268" s="161"/>
      <c r="I268" s="161"/>
      <c r="J268" s="161"/>
      <c r="K268" s="162"/>
      <c r="L268" s="16"/>
    </row>
    <row r="269" spans="1:12" ht="54" x14ac:dyDescent="0.15">
      <c r="A269" s="15"/>
      <c r="B269" s="154" t="s">
        <v>157</v>
      </c>
      <c r="C269" s="129" t="s">
        <v>46</v>
      </c>
      <c r="D269" s="129">
        <v>5</v>
      </c>
      <c r="E269" s="129" t="s">
        <v>150</v>
      </c>
      <c r="F269" s="143" t="s">
        <v>21</v>
      </c>
      <c r="G269" s="129" t="str">
        <f>IF(D4="kg",MROUND(F8*1,2.5)&amp;"-"&amp;MROUND(F8*1.05,2.5),MROUND(F8*1,5)&amp;"-"&amp;MROUND(F8*1.05,5))</f>
        <v>345-362.5</v>
      </c>
      <c r="H269" s="129" t="s">
        <v>151</v>
      </c>
      <c r="I269" s="144" t="s">
        <v>152</v>
      </c>
      <c r="J269" s="129" t="s">
        <v>153</v>
      </c>
      <c r="K269" s="129" t="s">
        <v>154</v>
      </c>
      <c r="L269" s="16"/>
    </row>
    <row r="270" spans="1:12" ht="54" x14ac:dyDescent="0.15">
      <c r="A270" s="15"/>
      <c r="B270" s="155"/>
      <c r="C270" s="133" t="s">
        <v>52</v>
      </c>
      <c r="D270" s="27">
        <v>3</v>
      </c>
      <c r="E270" s="27">
        <v>1</v>
      </c>
      <c r="F270" s="145" t="s">
        <v>47</v>
      </c>
      <c r="G270" s="133"/>
      <c r="H270" s="27" t="s">
        <v>36</v>
      </c>
      <c r="I270" s="133">
        <v>10</v>
      </c>
      <c r="J270" s="27" t="s">
        <v>39</v>
      </c>
      <c r="K270" s="133" t="s">
        <v>54</v>
      </c>
      <c r="L270" s="16"/>
    </row>
    <row r="271" spans="1:12" ht="27" x14ac:dyDescent="0.15">
      <c r="A271" s="15"/>
      <c r="B271" s="156"/>
      <c r="C271" s="129" t="s">
        <v>30</v>
      </c>
      <c r="D271" s="28">
        <v>1</v>
      </c>
      <c r="E271" s="28">
        <v>2</v>
      </c>
      <c r="F271" s="143" t="s">
        <v>27</v>
      </c>
      <c r="G271" s="129"/>
      <c r="H271" s="28" t="s">
        <v>36</v>
      </c>
      <c r="I271" s="129">
        <v>7</v>
      </c>
      <c r="J271" s="28" t="s">
        <v>32</v>
      </c>
      <c r="K271" s="28" t="s">
        <v>158</v>
      </c>
      <c r="L271" s="16"/>
    </row>
    <row r="272" spans="1:12" ht="26.25" customHeight="1" x14ac:dyDescent="0.15">
      <c r="A272" s="15"/>
      <c r="B272" s="170" t="s">
        <v>73</v>
      </c>
      <c r="C272" s="161"/>
      <c r="D272" s="161"/>
      <c r="E272" s="161"/>
      <c r="F272" s="161"/>
      <c r="G272" s="161"/>
      <c r="H272" s="161"/>
      <c r="I272" s="161"/>
      <c r="J272" s="161"/>
      <c r="K272" s="162"/>
      <c r="L272" s="16"/>
    </row>
    <row r="273" spans="1:12" ht="54" x14ac:dyDescent="0.15">
      <c r="A273" s="15"/>
      <c r="B273" s="154" t="s">
        <v>159</v>
      </c>
      <c r="C273" s="129" t="s">
        <v>75</v>
      </c>
      <c r="D273" s="92">
        <v>5</v>
      </c>
      <c r="E273" s="92" t="s">
        <v>150</v>
      </c>
      <c r="F273" s="132" t="s">
        <v>21</v>
      </c>
      <c r="G273" s="92" t="str">
        <f>IF(D4="kg",MROUND(G8*1,2.5)&amp;"-"&amp;MROUND(G8*1.05,2.5),MROUND(G8*1,5)&amp;"-"&amp;MROUND(G8*1.05,5))</f>
        <v>500-525</v>
      </c>
      <c r="H273" s="92" t="s">
        <v>151</v>
      </c>
      <c r="I273" s="93" t="s">
        <v>152</v>
      </c>
      <c r="J273" s="92" t="s">
        <v>153</v>
      </c>
      <c r="K273" s="129" t="s">
        <v>154</v>
      </c>
      <c r="L273" s="16"/>
    </row>
    <row r="274" spans="1:12" ht="27" x14ac:dyDescent="0.15">
      <c r="A274" s="15"/>
      <c r="B274" s="155"/>
      <c r="C274" s="133" t="s">
        <v>38</v>
      </c>
      <c r="D274" s="18">
        <v>1</v>
      </c>
      <c r="E274" s="18">
        <v>3</v>
      </c>
      <c r="F274" s="134" t="s">
        <v>50</v>
      </c>
      <c r="G274" s="18"/>
      <c r="H274" s="18" t="s">
        <v>36</v>
      </c>
      <c r="I274" s="82">
        <v>7</v>
      </c>
      <c r="J274" s="18" t="s">
        <v>39</v>
      </c>
      <c r="K274" s="66" t="s">
        <v>40</v>
      </c>
      <c r="L274" s="16"/>
    </row>
    <row r="275" spans="1:12" ht="27" x14ac:dyDescent="0.15">
      <c r="A275" s="15"/>
      <c r="B275" s="156"/>
      <c r="C275" s="129" t="s">
        <v>160</v>
      </c>
      <c r="D275" s="17">
        <v>1</v>
      </c>
      <c r="E275" s="17">
        <v>2</v>
      </c>
      <c r="F275" s="132" t="s">
        <v>96</v>
      </c>
      <c r="G275" s="17"/>
      <c r="H275" s="17" t="s">
        <v>36</v>
      </c>
      <c r="I275" s="92">
        <v>7</v>
      </c>
      <c r="J275" s="17" t="s">
        <v>39</v>
      </c>
      <c r="K275" s="12" t="s">
        <v>72</v>
      </c>
      <c r="L275" s="16"/>
    </row>
    <row r="276" spans="1:12" ht="26" x14ac:dyDescent="0.15">
      <c r="A276" s="15"/>
      <c r="B276" s="165"/>
      <c r="C276" s="168"/>
      <c r="D276" s="168"/>
      <c r="E276" s="168"/>
      <c r="F276" s="168"/>
      <c r="G276" s="168"/>
      <c r="H276" s="168"/>
      <c r="I276" s="168"/>
      <c r="J276" s="168"/>
      <c r="K276" s="168"/>
      <c r="L276" s="16"/>
    </row>
    <row r="277" spans="1:12" ht="26.25" customHeight="1" x14ac:dyDescent="0.15">
      <c r="A277" s="15"/>
      <c r="B277" s="179" t="s">
        <v>161</v>
      </c>
      <c r="C277" s="166"/>
      <c r="D277" s="166"/>
      <c r="E277" s="166"/>
      <c r="F277" s="166"/>
      <c r="G277" s="166"/>
      <c r="H277" s="166"/>
      <c r="I277" s="166"/>
      <c r="J277" s="166"/>
      <c r="K277" s="180"/>
      <c r="L277" s="16"/>
    </row>
    <row r="278" spans="1:12" ht="44" x14ac:dyDescent="0.15">
      <c r="A278" s="15"/>
      <c r="B278" s="40" t="s">
        <v>162</v>
      </c>
      <c r="C278" s="33" t="s">
        <v>10</v>
      </c>
      <c r="D278" s="33" t="s">
        <v>11</v>
      </c>
      <c r="E278" s="33" t="s">
        <v>12</v>
      </c>
      <c r="F278" s="34" t="s">
        <v>13</v>
      </c>
      <c r="G278" s="33" t="s">
        <v>14</v>
      </c>
      <c r="H278" s="34" t="s">
        <v>15</v>
      </c>
      <c r="I278" s="34" t="s">
        <v>16</v>
      </c>
      <c r="J278" s="34" t="s">
        <v>17</v>
      </c>
      <c r="K278" s="35" t="s">
        <v>18</v>
      </c>
      <c r="L278" s="16"/>
    </row>
    <row r="279" spans="1:12" ht="54" x14ac:dyDescent="0.15">
      <c r="A279" s="15"/>
      <c r="B279" s="154" t="s">
        <v>149</v>
      </c>
      <c r="C279" s="129" t="s">
        <v>26</v>
      </c>
      <c r="D279" s="92">
        <v>5</v>
      </c>
      <c r="E279" s="92">
        <v>1</v>
      </c>
      <c r="F279" s="132" t="s">
        <v>163</v>
      </c>
      <c r="G279" s="92">
        <f>IF(D4="kg",MROUND(E8*0.9,2.5),MROUND(E8*0.9,5))</f>
        <v>365</v>
      </c>
      <c r="H279" s="130">
        <v>0.9</v>
      </c>
      <c r="I279" s="93" t="s">
        <v>152</v>
      </c>
      <c r="J279" s="92" t="s">
        <v>153</v>
      </c>
      <c r="K279" s="129" t="s">
        <v>164</v>
      </c>
      <c r="L279" s="16"/>
    </row>
    <row r="280" spans="1:12" ht="54" x14ac:dyDescent="0.15">
      <c r="A280" s="15"/>
      <c r="B280" s="155"/>
      <c r="C280" s="133" t="s">
        <v>155</v>
      </c>
      <c r="D280" s="24">
        <v>1</v>
      </c>
      <c r="E280" s="24">
        <v>2</v>
      </c>
      <c r="F280" s="134" t="s">
        <v>59</v>
      </c>
      <c r="G280" s="24"/>
      <c r="H280" s="24" t="s">
        <v>36</v>
      </c>
      <c r="I280" s="82">
        <v>7</v>
      </c>
      <c r="J280" s="24" t="s">
        <v>39</v>
      </c>
      <c r="K280" s="66" t="s">
        <v>156</v>
      </c>
      <c r="L280" s="16"/>
    </row>
    <row r="281" spans="1:12" ht="27" x14ac:dyDescent="0.15">
      <c r="A281" s="15"/>
      <c r="B281" s="156"/>
      <c r="C281" s="30" t="s">
        <v>80</v>
      </c>
      <c r="D281" s="29">
        <v>1</v>
      </c>
      <c r="E281" s="29">
        <v>2</v>
      </c>
      <c r="F281" s="137" t="s">
        <v>56</v>
      </c>
      <c r="G281" s="29"/>
      <c r="H281" s="29" t="s">
        <v>36</v>
      </c>
      <c r="I281" s="29">
        <v>7</v>
      </c>
      <c r="J281" s="29" t="s">
        <v>39</v>
      </c>
      <c r="K281" s="65" t="s">
        <v>165</v>
      </c>
      <c r="L281" s="16"/>
    </row>
    <row r="282" spans="1:12" ht="26.25" customHeight="1" x14ac:dyDescent="0.15">
      <c r="A282" s="15"/>
      <c r="B282" s="170" t="s">
        <v>73</v>
      </c>
      <c r="C282" s="161"/>
      <c r="D282" s="161"/>
      <c r="E282" s="161"/>
      <c r="F282" s="161"/>
      <c r="G282" s="161"/>
      <c r="H282" s="161"/>
      <c r="I282" s="161"/>
      <c r="J282" s="161"/>
      <c r="K282" s="162"/>
      <c r="L282" s="16"/>
    </row>
    <row r="283" spans="1:12" ht="54" x14ac:dyDescent="0.15">
      <c r="A283" s="15"/>
      <c r="B283" s="154" t="s">
        <v>157</v>
      </c>
      <c r="C283" s="129" t="s">
        <v>46</v>
      </c>
      <c r="D283" s="92">
        <v>5</v>
      </c>
      <c r="E283" s="92">
        <v>1</v>
      </c>
      <c r="F283" s="132" t="s">
        <v>163</v>
      </c>
      <c r="G283" s="92">
        <f>IF(D4="kg",MROUND(F8*0.9,2.5),MROUND(F8*0.9,5))</f>
        <v>310</v>
      </c>
      <c r="H283" s="130">
        <v>0.9</v>
      </c>
      <c r="I283" s="93" t="s">
        <v>152</v>
      </c>
      <c r="J283" s="92" t="s">
        <v>153</v>
      </c>
      <c r="K283" s="129" t="s">
        <v>164</v>
      </c>
      <c r="L283" s="16"/>
    </row>
    <row r="284" spans="1:12" ht="54" x14ac:dyDescent="0.15">
      <c r="A284" s="15"/>
      <c r="B284" s="155"/>
      <c r="C284" s="66" t="s">
        <v>52</v>
      </c>
      <c r="D284" s="24">
        <v>3</v>
      </c>
      <c r="E284" s="24">
        <v>1</v>
      </c>
      <c r="F284" s="134" t="s">
        <v>47</v>
      </c>
      <c r="G284" s="82"/>
      <c r="H284" s="24" t="s">
        <v>36</v>
      </c>
      <c r="I284" s="82">
        <v>10</v>
      </c>
      <c r="J284" s="24" t="s">
        <v>39</v>
      </c>
      <c r="K284" s="66" t="s">
        <v>54</v>
      </c>
      <c r="L284" s="16"/>
    </row>
    <row r="285" spans="1:12" ht="27" x14ac:dyDescent="0.15">
      <c r="A285" s="15"/>
      <c r="B285" s="156"/>
      <c r="C285" s="30" t="s">
        <v>30</v>
      </c>
      <c r="D285" s="29">
        <v>1</v>
      </c>
      <c r="E285" s="29">
        <v>2</v>
      </c>
      <c r="F285" s="137" t="s">
        <v>27</v>
      </c>
      <c r="G285" s="29"/>
      <c r="H285" s="29" t="s">
        <v>36</v>
      </c>
      <c r="I285" s="29">
        <v>7</v>
      </c>
      <c r="J285" s="29" t="s">
        <v>32</v>
      </c>
      <c r="K285" s="30" t="s">
        <v>158</v>
      </c>
      <c r="L285" s="16"/>
    </row>
    <row r="286" spans="1:12" ht="26.25" customHeight="1" x14ac:dyDescent="0.15">
      <c r="A286" s="15"/>
      <c r="B286" s="170" t="s">
        <v>73</v>
      </c>
      <c r="C286" s="161"/>
      <c r="D286" s="161"/>
      <c r="E286" s="161"/>
      <c r="F286" s="161"/>
      <c r="G286" s="161"/>
      <c r="H286" s="161"/>
      <c r="I286" s="161"/>
      <c r="J286" s="161"/>
      <c r="K286" s="162"/>
      <c r="L286" s="16"/>
    </row>
    <row r="287" spans="1:12" ht="54" x14ac:dyDescent="0.15">
      <c r="A287" s="15"/>
      <c r="B287" s="154" t="s">
        <v>159</v>
      </c>
      <c r="C287" s="129" t="s">
        <v>75</v>
      </c>
      <c r="D287" s="92">
        <v>5</v>
      </c>
      <c r="E287" s="92">
        <v>1</v>
      </c>
      <c r="F287" s="132" t="s">
        <v>163</v>
      </c>
      <c r="G287" s="92">
        <f>IF(D4="kg",MROUND(G8*0.9,2.5),MROUND(G8*0.9,5))</f>
        <v>450</v>
      </c>
      <c r="H287" s="130">
        <v>0.9</v>
      </c>
      <c r="I287" s="93" t="s">
        <v>152</v>
      </c>
      <c r="J287" s="92" t="s">
        <v>153</v>
      </c>
      <c r="K287" s="129" t="s">
        <v>164</v>
      </c>
      <c r="L287" s="16"/>
    </row>
    <row r="288" spans="1:12" ht="27" x14ac:dyDescent="0.15">
      <c r="A288" s="15"/>
      <c r="B288" s="155"/>
      <c r="C288" s="133" t="s">
        <v>38</v>
      </c>
      <c r="D288" s="24">
        <v>1</v>
      </c>
      <c r="E288" s="24">
        <v>3</v>
      </c>
      <c r="F288" s="134" t="s">
        <v>50</v>
      </c>
      <c r="G288" s="24"/>
      <c r="H288" s="24" t="s">
        <v>36</v>
      </c>
      <c r="I288" s="82">
        <v>7</v>
      </c>
      <c r="J288" s="24" t="s">
        <v>39</v>
      </c>
      <c r="K288" s="66" t="s">
        <v>40</v>
      </c>
      <c r="L288" s="16"/>
    </row>
    <row r="289" spans="1:12" ht="27" x14ac:dyDescent="0.15">
      <c r="A289" s="15"/>
      <c r="B289" s="156"/>
      <c r="C289" s="30" t="s">
        <v>160</v>
      </c>
      <c r="D289" s="29">
        <v>1</v>
      </c>
      <c r="E289" s="29">
        <v>2</v>
      </c>
      <c r="F289" s="137" t="s">
        <v>96</v>
      </c>
      <c r="G289" s="29"/>
      <c r="H289" s="29" t="s">
        <v>36</v>
      </c>
      <c r="I289" s="29">
        <v>7</v>
      </c>
      <c r="J289" s="29" t="s">
        <v>39</v>
      </c>
      <c r="K289" s="12" t="s">
        <v>72</v>
      </c>
      <c r="L289" s="15"/>
    </row>
    <row r="290" spans="1:12" ht="26" x14ac:dyDescent="0.15">
      <c r="A290" s="15"/>
      <c r="B290" s="15"/>
      <c r="C290" s="7"/>
      <c r="D290" s="15"/>
      <c r="E290" s="15"/>
      <c r="F290" s="31"/>
      <c r="G290" s="146"/>
      <c r="H290" s="15"/>
      <c r="I290" s="15"/>
      <c r="J290" s="15"/>
      <c r="K290" s="32"/>
      <c r="L290" s="16"/>
    </row>
    <row r="291" spans="1:12" ht="26" x14ac:dyDescent="0.15">
      <c r="A291" s="15"/>
      <c r="B291" s="15"/>
      <c r="C291" s="7"/>
      <c r="D291" s="15"/>
      <c r="E291" s="15"/>
      <c r="F291" s="31"/>
      <c r="G291" s="146"/>
      <c r="H291" s="15"/>
      <c r="I291" s="15"/>
      <c r="J291" s="15"/>
      <c r="K291" s="32"/>
      <c r="L291" s="16"/>
    </row>
    <row r="292" spans="1:12" ht="26" x14ac:dyDescent="0.15">
      <c r="A292" s="15"/>
      <c r="B292" s="15"/>
      <c r="C292" s="7"/>
      <c r="D292" s="15"/>
      <c r="E292" s="15"/>
      <c r="F292" s="31"/>
      <c r="G292" s="146"/>
      <c r="H292" s="15"/>
      <c r="I292" s="15"/>
      <c r="J292" s="15"/>
      <c r="K292" s="32"/>
      <c r="L292" s="16"/>
    </row>
    <row r="293" spans="1:12" ht="26" x14ac:dyDescent="0.15">
      <c r="A293" s="15"/>
      <c r="B293" s="15"/>
      <c r="C293" s="7"/>
      <c r="D293" s="15"/>
      <c r="E293" s="15"/>
      <c r="F293" s="31"/>
      <c r="G293" s="146"/>
      <c r="H293" s="15"/>
      <c r="I293" s="15"/>
      <c r="J293" s="15"/>
      <c r="K293" s="32"/>
      <c r="L293" s="16"/>
    </row>
    <row r="294" spans="1:12" ht="26" x14ac:dyDescent="0.15">
      <c r="A294" s="15"/>
      <c r="B294" s="15"/>
      <c r="C294" s="7"/>
      <c r="D294" s="15"/>
      <c r="E294" s="15"/>
      <c r="F294" s="31"/>
      <c r="G294" s="146"/>
      <c r="H294" s="15"/>
      <c r="I294" s="15"/>
      <c r="J294" s="15"/>
      <c r="K294" s="32"/>
      <c r="L294" s="16"/>
    </row>
    <row r="295" spans="1:12" ht="26" x14ac:dyDescent="0.15">
      <c r="A295" s="15"/>
      <c r="B295" s="15"/>
      <c r="C295" s="7"/>
      <c r="D295" s="15"/>
      <c r="E295" s="15"/>
      <c r="F295" s="31"/>
      <c r="G295" s="146"/>
      <c r="H295" s="15"/>
      <c r="I295" s="15"/>
      <c r="J295" s="15"/>
      <c r="K295" s="32"/>
      <c r="L295" s="16"/>
    </row>
    <row r="296" spans="1:12" ht="26" x14ac:dyDescent="0.15">
      <c r="A296" s="15"/>
      <c r="B296" s="15"/>
      <c r="C296" s="7"/>
      <c r="D296" s="15"/>
      <c r="E296" s="15"/>
      <c r="F296" s="31"/>
      <c r="G296" s="146"/>
      <c r="H296" s="15"/>
      <c r="I296" s="15"/>
      <c r="J296" s="15"/>
      <c r="K296" s="32"/>
      <c r="L296" s="16"/>
    </row>
    <row r="297" spans="1:12" ht="26" x14ac:dyDescent="0.15">
      <c r="A297" s="15"/>
      <c r="B297" s="15"/>
      <c r="C297" s="7"/>
      <c r="D297" s="15"/>
      <c r="E297" s="15"/>
      <c r="F297" s="31"/>
      <c r="G297" s="146"/>
      <c r="H297" s="15"/>
      <c r="I297" s="15"/>
      <c r="J297" s="15"/>
      <c r="K297" s="32"/>
      <c r="L297" s="16"/>
    </row>
    <row r="298" spans="1:12" ht="26" x14ac:dyDescent="0.15">
      <c r="A298" s="15"/>
      <c r="B298" s="15"/>
      <c r="C298" s="7"/>
      <c r="D298" s="15"/>
      <c r="E298" s="15"/>
      <c r="F298" s="31"/>
      <c r="G298" s="146"/>
      <c r="H298" s="15"/>
      <c r="I298" s="15"/>
      <c r="J298" s="15"/>
      <c r="K298" s="32"/>
      <c r="L298" s="16"/>
    </row>
    <row r="299" spans="1:12" ht="26" x14ac:dyDescent="0.15">
      <c r="A299" s="15"/>
      <c r="B299" s="15"/>
      <c r="C299" s="7"/>
      <c r="D299" s="15"/>
      <c r="E299" s="15"/>
      <c r="F299" s="31"/>
      <c r="G299" s="146"/>
      <c r="H299" s="15"/>
      <c r="I299" s="15"/>
      <c r="J299" s="15"/>
      <c r="K299" s="32"/>
      <c r="L299" s="16"/>
    </row>
    <row r="300" spans="1:12" ht="26" x14ac:dyDescent="0.15">
      <c r="A300" s="15"/>
      <c r="B300" s="15"/>
      <c r="C300" s="7"/>
      <c r="D300" s="15"/>
      <c r="E300" s="15"/>
      <c r="F300" s="31"/>
      <c r="G300" s="146"/>
      <c r="H300" s="15"/>
      <c r="I300" s="15"/>
      <c r="J300" s="15"/>
      <c r="K300" s="32"/>
      <c r="L300" s="16"/>
    </row>
    <row r="301" spans="1:12" ht="26" x14ac:dyDescent="0.15">
      <c r="A301" s="15"/>
      <c r="B301" s="15"/>
      <c r="C301" s="7"/>
      <c r="D301" s="15"/>
      <c r="E301" s="15"/>
      <c r="F301" s="31"/>
      <c r="G301" s="146"/>
      <c r="H301" s="15"/>
      <c r="I301" s="15"/>
      <c r="J301" s="15"/>
      <c r="K301" s="32"/>
      <c r="L301" s="16"/>
    </row>
    <row r="302" spans="1:12" ht="26" x14ac:dyDescent="0.15">
      <c r="A302" s="15"/>
      <c r="B302" s="15"/>
      <c r="C302" s="7"/>
      <c r="D302" s="15"/>
      <c r="E302" s="15"/>
      <c r="F302" s="31"/>
      <c r="G302" s="146"/>
      <c r="H302" s="15"/>
      <c r="I302" s="15"/>
      <c r="J302" s="15"/>
      <c r="K302" s="32"/>
      <c r="L302" s="16"/>
    </row>
    <row r="303" spans="1:12" ht="26" x14ac:dyDescent="0.15">
      <c r="A303" s="15"/>
      <c r="B303" s="15"/>
      <c r="C303" s="7"/>
      <c r="D303" s="15"/>
      <c r="E303" s="15"/>
      <c r="F303" s="31"/>
      <c r="G303" s="146"/>
      <c r="H303" s="15"/>
      <c r="I303" s="15"/>
      <c r="J303" s="15"/>
      <c r="K303" s="32"/>
      <c r="L303" s="16"/>
    </row>
    <row r="304" spans="1:12" ht="26" x14ac:dyDescent="0.15">
      <c r="A304" s="15"/>
      <c r="B304" s="15"/>
      <c r="C304" s="7"/>
      <c r="D304" s="15"/>
      <c r="E304" s="15"/>
      <c r="F304" s="31"/>
      <c r="G304" s="146"/>
      <c r="H304" s="15"/>
      <c r="I304" s="15"/>
      <c r="J304" s="15"/>
      <c r="K304" s="32"/>
      <c r="L304" s="16"/>
    </row>
    <row r="305" spans="1:12" ht="26" x14ac:dyDescent="0.15">
      <c r="A305" s="15"/>
      <c r="B305" s="15"/>
      <c r="C305" s="7"/>
      <c r="D305" s="15"/>
      <c r="E305" s="15"/>
      <c r="F305" s="31"/>
      <c r="G305" s="146"/>
      <c r="H305" s="15"/>
      <c r="I305" s="15"/>
      <c r="J305" s="15"/>
      <c r="K305" s="32"/>
      <c r="L305" s="16"/>
    </row>
    <row r="306" spans="1:12" ht="26" x14ac:dyDescent="0.15">
      <c r="A306" s="15"/>
      <c r="B306" s="15"/>
      <c r="C306" s="7"/>
      <c r="D306" s="15"/>
      <c r="E306" s="15"/>
      <c r="F306" s="31"/>
      <c r="G306" s="146"/>
      <c r="H306" s="15"/>
      <c r="I306" s="15"/>
      <c r="J306" s="15"/>
      <c r="K306" s="32"/>
      <c r="L306" s="16"/>
    </row>
    <row r="307" spans="1:12" ht="26" x14ac:dyDescent="0.15">
      <c r="A307" s="15"/>
      <c r="B307" s="15"/>
      <c r="C307" s="7"/>
      <c r="D307" s="15"/>
      <c r="E307" s="15"/>
      <c r="F307" s="31"/>
      <c r="G307" s="146"/>
      <c r="H307" s="15"/>
      <c r="I307" s="15"/>
      <c r="J307" s="15"/>
      <c r="K307" s="32"/>
      <c r="L307" s="16"/>
    </row>
    <row r="308" spans="1:12" ht="26" x14ac:dyDescent="0.15">
      <c r="A308" s="15"/>
      <c r="B308" s="15"/>
      <c r="C308" s="7"/>
      <c r="D308" s="15"/>
      <c r="E308" s="15"/>
      <c r="F308" s="31"/>
      <c r="G308" s="146"/>
      <c r="H308" s="15"/>
      <c r="I308" s="15"/>
      <c r="J308" s="15"/>
      <c r="K308" s="32"/>
      <c r="L308" s="16"/>
    </row>
    <row r="309" spans="1:12" ht="26" x14ac:dyDescent="0.15">
      <c r="A309" s="15"/>
      <c r="B309" s="15"/>
      <c r="C309" s="7"/>
      <c r="D309" s="15"/>
      <c r="E309" s="15"/>
      <c r="F309" s="31"/>
      <c r="G309" s="146"/>
      <c r="H309" s="15"/>
      <c r="I309" s="15"/>
      <c r="J309" s="15"/>
      <c r="K309" s="32"/>
      <c r="L309" s="16"/>
    </row>
    <row r="310" spans="1:12" ht="26" x14ac:dyDescent="0.15">
      <c r="A310" s="15"/>
      <c r="B310" s="15"/>
      <c r="C310" s="7"/>
      <c r="D310" s="15"/>
      <c r="E310" s="15"/>
      <c r="F310" s="31"/>
      <c r="G310" s="146"/>
      <c r="H310" s="15"/>
      <c r="I310" s="15"/>
      <c r="J310" s="15"/>
      <c r="K310" s="32"/>
      <c r="L310" s="16"/>
    </row>
    <row r="311" spans="1:12" ht="26" x14ac:dyDescent="0.15">
      <c r="A311" s="15"/>
      <c r="B311" s="15"/>
      <c r="C311" s="7"/>
      <c r="D311" s="15"/>
      <c r="E311" s="15"/>
      <c r="F311" s="31"/>
      <c r="G311" s="146"/>
      <c r="H311" s="15"/>
      <c r="I311" s="15"/>
      <c r="J311" s="15"/>
      <c r="K311" s="32"/>
      <c r="L311" s="16"/>
    </row>
    <row r="312" spans="1:12" ht="26" x14ac:dyDescent="0.15">
      <c r="A312" s="15"/>
      <c r="B312" s="15"/>
      <c r="C312" s="7"/>
      <c r="D312" s="15"/>
      <c r="E312" s="15"/>
      <c r="F312" s="31"/>
      <c r="G312" s="146"/>
      <c r="H312" s="15"/>
      <c r="I312" s="15"/>
      <c r="J312" s="15"/>
      <c r="K312" s="32"/>
      <c r="L312" s="16"/>
    </row>
    <row r="313" spans="1:12" ht="26" x14ac:dyDescent="0.15">
      <c r="A313" s="15"/>
      <c r="B313" s="15"/>
      <c r="C313" s="7"/>
      <c r="D313" s="15"/>
      <c r="E313" s="15"/>
      <c r="F313" s="31"/>
      <c r="G313" s="146"/>
      <c r="H313" s="15"/>
      <c r="I313" s="15"/>
      <c r="J313" s="15"/>
      <c r="K313" s="32"/>
      <c r="L313" s="16"/>
    </row>
    <row r="314" spans="1:12" ht="26" x14ac:dyDescent="0.15">
      <c r="A314" s="15"/>
      <c r="B314" s="15"/>
      <c r="C314" s="7"/>
      <c r="D314" s="15"/>
      <c r="E314" s="15"/>
      <c r="F314" s="31"/>
      <c r="G314" s="146"/>
      <c r="H314" s="15"/>
      <c r="I314" s="15"/>
      <c r="J314" s="15"/>
      <c r="K314" s="32"/>
      <c r="L314" s="16"/>
    </row>
  </sheetData>
  <mergeCells count="88">
    <mergeCell ref="B17:B23"/>
    <mergeCell ref="B24:B27"/>
    <mergeCell ref="B12:B16"/>
    <mergeCell ref="B29:B34"/>
    <mergeCell ref="B35:B38"/>
    <mergeCell ref="B39:K39"/>
    <mergeCell ref="B41:B45"/>
    <mergeCell ref="B46:B52"/>
    <mergeCell ref="B53:B56"/>
    <mergeCell ref="B57:K57"/>
    <mergeCell ref="B58:B63"/>
    <mergeCell ref="B64:B67"/>
    <mergeCell ref="B75:B81"/>
    <mergeCell ref="B82:B85"/>
    <mergeCell ref="B68:K68"/>
    <mergeCell ref="B70:B74"/>
    <mergeCell ref="B133:B138"/>
    <mergeCell ref="B86:K86"/>
    <mergeCell ref="B87:B92"/>
    <mergeCell ref="B139:B142"/>
    <mergeCell ref="B115:K115"/>
    <mergeCell ref="B116:B121"/>
    <mergeCell ref="B122:B125"/>
    <mergeCell ref="B126:K126"/>
    <mergeCell ref="B127:K127"/>
    <mergeCell ref="B93:B96"/>
    <mergeCell ref="B97:K97"/>
    <mergeCell ref="B99:B103"/>
    <mergeCell ref="B104:B110"/>
    <mergeCell ref="B111:B114"/>
    <mergeCell ref="A1:A242"/>
    <mergeCell ref="L1:L242"/>
    <mergeCell ref="D3:H3"/>
    <mergeCell ref="D4:H4"/>
    <mergeCell ref="C7:D8"/>
    <mergeCell ref="B10:K10"/>
    <mergeCell ref="B28:K28"/>
    <mergeCell ref="B242:K242"/>
    <mergeCell ref="B237:B240"/>
    <mergeCell ref="B241:K241"/>
    <mergeCell ref="B172:K172"/>
    <mergeCell ref="B173:B178"/>
    <mergeCell ref="B197:B200"/>
    <mergeCell ref="B201:K201"/>
    <mergeCell ref="B202:B207"/>
    <mergeCell ref="B161:B167"/>
    <mergeCell ref="B282:K282"/>
    <mergeCell ref="B286:K286"/>
    <mergeCell ref="B287:B289"/>
    <mergeCell ref="B261:K261"/>
    <mergeCell ref="B262:K262"/>
    <mergeCell ref="B263:K263"/>
    <mergeCell ref="B268:K268"/>
    <mergeCell ref="B272:K272"/>
    <mergeCell ref="B276:K276"/>
    <mergeCell ref="B277:K277"/>
    <mergeCell ref="B273:B275"/>
    <mergeCell ref="B279:B281"/>
    <mergeCell ref="B283:B285"/>
    <mergeCell ref="B269:B271"/>
    <mergeCell ref="B208:B211"/>
    <mergeCell ref="B212:K212"/>
    <mergeCell ref="B214:B218"/>
    <mergeCell ref="B230:K230"/>
    <mergeCell ref="B231:B236"/>
    <mergeCell ref="B219:B225"/>
    <mergeCell ref="B226:B229"/>
    <mergeCell ref="B248:K248"/>
    <mergeCell ref="B253:K253"/>
    <mergeCell ref="B258:K258"/>
    <mergeCell ref="B259:K259"/>
    <mergeCell ref="B260:K260"/>
    <mergeCell ref="B1:K1"/>
    <mergeCell ref="B244:B247"/>
    <mergeCell ref="B249:B252"/>
    <mergeCell ref="B254:B257"/>
    <mergeCell ref="B265:B267"/>
    <mergeCell ref="B190:B196"/>
    <mergeCell ref="B168:B171"/>
    <mergeCell ref="B179:B182"/>
    <mergeCell ref="B183:K183"/>
    <mergeCell ref="B185:B189"/>
    <mergeCell ref="B143:K143"/>
    <mergeCell ref="B144:B149"/>
    <mergeCell ref="B150:B153"/>
    <mergeCell ref="B154:K154"/>
    <mergeCell ref="B156:B160"/>
    <mergeCell ref="B129:B132"/>
  </mergeCells>
  <conditionalFormatting sqref="C13:K16 C18:K27">
    <cfRule type="expression" dxfId="37" priority="40">
      <formula>MOD(ROW(),2)=0</formula>
    </cfRule>
    <cfRule type="expression" dxfId="36" priority="39">
      <formula>MOD(ROW(),2)=1</formula>
    </cfRule>
  </conditionalFormatting>
  <conditionalFormatting sqref="C30:K38">
    <cfRule type="expression" dxfId="35" priority="38">
      <formula>MOD(ROW(),2)=1</formula>
    </cfRule>
    <cfRule type="expression" dxfId="34" priority="37">
      <formula>MOD(ROW(),2)=0</formula>
    </cfRule>
  </conditionalFormatting>
  <conditionalFormatting sqref="C42:K45 C47:K56">
    <cfRule type="expression" dxfId="33" priority="36">
      <formula>MOD(ROW(),2)=0</formula>
    </cfRule>
    <cfRule type="expression" dxfId="32" priority="35">
      <formula>MOD(ROW(),2)=1</formula>
    </cfRule>
  </conditionalFormatting>
  <conditionalFormatting sqref="C59:K67">
    <cfRule type="expression" dxfId="31" priority="34">
      <formula>MOD(ROW(),2)=0</formula>
    </cfRule>
    <cfRule type="expression" dxfId="30" priority="33">
      <formula>MOD(ROW(),2)=1</formula>
    </cfRule>
  </conditionalFormatting>
  <conditionalFormatting sqref="C71:K74 C76:K85">
    <cfRule type="expression" dxfId="29" priority="32">
      <formula>MOD(ROW(),2)=0</formula>
    </cfRule>
    <cfRule type="expression" dxfId="28" priority="31">
      <formula>MOD(ROW(),2)=1</formula>
    </cfRule>
  </conditionalFormatting>
  <conditionalFormatting sqref="C88:K96">
    <cfRule type="expression" dxfId="27" priority="28">
      <formula>MOD(ROW(),2)=0</formula>
    </cfRule>
    <cfRule type="expression" dxfId="26" priority="27">
      <formula>MOD(ROW(),2)=1</formula>
    </cfRule>
  </conditionalFormatting>
  <conditionalFormatting sqref="C100:K103 C105:K114">
    <cfRule type="expression" dxfId="25" priority="26">
      <formula>MOD(ROW(),2)=0</formula>
    </cfRule>
    <cfRule type="expression" dxfId="24" priority="25">
      <formula>MOD(ROW(),2)=1</formula>
    </cfRule>
  </conditionalFormatting>
  <conditionalFormatting sqref="C117:K125">
    <cfRule type="expression" dxfId="23" priority="24">
      <formula>MOD(ROW(),2)=0</formula>
    </cfRule>
    <cfRule type="expression" dxfId="22" priority="23">
      <formula>MOD(ROW(),2)=1</formula>
    </cfRule>
  </conditionalFormatting>
  <conditionalFormatting sqref="C129:K142">
    <cfRule type="expression" dxfId="21" priority="22">
      <formula>MOD(ROW(),2)=1</formula>
    </cfRule>
    <cfRule type="expression" dxfId="20" priority="21">
      <formula>MOD(ROW(),2)=0</formula>
    </cfRule>
  </conditionalFormatting>
  <conditionalFormatting sqref="C144:K153">
    <cfRule type="expression" dxfId="19" priority="20">
      <formula>MOD(ROW(),2)=0</formula>
    </cfRule>
    <cfRule type="expression" dxfId="18" priority="19">
      <formula>MOD(ROW(),2)=1</formula>
    </cfRule>
  </conditionalFormatting>
  <conditionalFormatting sqref="C157:K160 C162:K171">
    <cfRule type="expression" dxfId="17" priority="18">
      <formula>MOD(ROW(),2)=0</formula>
    </cfRule>
    <cfRule type="expression" dxfId="16" priority="17">
      <formula>MOD(ROW(),2)=1</formula>
    </cfRule>
  </conditionalFormatting>
  <conditionalFormatting sqref="C174:K182">
    <cfRule type="expression" dxfId="15" priority="16">
      <formula>MOD(ROW(),2)=0</formula>
    </cfRule>
    <cfRule type="expression" dxfId="14" priority="15">
      <formula>MOD(ROW(),2)=1</formula>
    </cfRule>
  </conditionalFormatting>
  <conditionalFormatting sqref="C186:K189 C191:K200">
    <cfRule type="expression" dxfId="13" priority="14">
      <formula>MOD(ROW(),2)=0</formula>
    </cfRule>
    <cfRule type="expression" dxfId="12" priority="13">
      <formula>MOD(ROW(),2)=1</formula>
    </cfRule>
  </conditionalFormatting>
  <conditionalFormatting sqref="C203:K211">
    <cfRule type="expression" dxfId="11" priority="12">
      <formula>MOD(ROW(),2)=0</formula>
    </cfRule>
    <cfRule type="expression" dxfId="10" priority="11">
      <formula>MOD(ROW(),2)=1</formula>
    </cfRule>
  </conditionalFormatting>
  <conditionalFormatting sqref="C215:K218 C220:K229">
    <cfRule type="expression" dxfId="9" priority="10">
      <formula>MOD(ROW(),2)=0</formula>
    </cfRule>
    <cfRule type="expression" dxfId="8" priority="9">
      <formula>MOD(ROW(),2)=1</formula>
    </cfRule>
  </conditionalFormatting>
  <conditionalFormatting sqref="C232:K240">
    <cfRule type="expression" dxfId="7" priority="8">
      <formula>MOD(ROW(),2)=0</formula>
    </cfRule>
    <cfRule type="expression" dxfId="6" priority="7">
      <formula>MOD(ROW(),2)=1</formula>
    </cfRule>
  </conditionalFormatting>
  <conditionalFormatting sqref="C244:K247">
    <cfRule type="expression" dxfId="5" priority="6">
      <formula>MOD(ROW(),2)=0</formula>
    </cfRule>
    <cfRule type="expression" dxfId="4" priority="5">
      <formula>MOD(ROW(),2)=1</formula>
    </cfRule>
  </conditionalFormatting>
  <conditionalFormatting sqref="C249:K252">
    <cfRule type="expression" dxfId="3" priority="4">
      <formula>MOD(ROW(),2)=0</formula>
    </cfRule>
    <cfRule type="expression" dxfId="2" priority="3">
      <formula>MOD(ROW(),2)=1</formula>
    </cfRule>
  </conditionalFormatting>
  <conditionalFormatting sqref="C254:K257">
    <cfRule type="expression" dxfId="1" priority="2">
      <formula>MOD(ROW(),2)=0</formula>
    </cfRule>
    <cfRule type="expression" dxfId="0" priority="1">
      <formula>MOD(ROW(),2)=1</formula>
    </cfRule>
  </conditionalFormatting>
  <pageMargins left="0.7" right="0.7" top="0.75" bottom="0.75" header="0" footer="0"/>
  <pageSetup orientation="portrait" r:id="rId1"/>
  <ignoredErrors>
    <ignoredError sqref="F12:F27 F29:F38 F41:F47 F53:F56 F58:F67" numberStoredAsText="1"/>
  </ignoredErrors>
  <tableParts count="12"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Chapman Conrad Petersen</cp:lastModifiedBy>
  <cp:revision/>
  <dcterms:created xsi:type="dcterms:W3CDTF">2025-08-22T18:27:41Z</dcterms:created>
  <dcterms:modified xsi:type="dcterms:W3CDTF">2026-04-22T23:47:16Z</dcterms:modified>
  <cp:category/>
  <cp:contentStatus/>
</cp:coreProperties>
</file>